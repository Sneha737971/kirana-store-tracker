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5B7C2F8F-5CD0-41D7-94E7-248372BFA9E5}" xr6:coauthVersionLast="47" xr6:coauthVersionMax="47" xr10:uidLastSave="{00000000-0000-0000-0000-000000000000}"/>
  <bookViews>
    <workbookView xWindow="-90" yWindow="0" windowWidth="9780" windowHeight="10170" tabRatio="500" xr2:uid="{00000000-000D-0000-FFFF-FFFF00000000}"/>
  </bookViews>
  <sheets>
    <sheet name="README" sheetId="1" r:id="rId1"/>
    <sheet name="Dashboard" sheetId="2" r:id="rId2"/>
    <sheet name="Raw_Data" sheetId="3" r:id="rId3"/>
    <sheet name="Category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F7" i="4" s="1"/>
  <c r="B7" i="4"/>
  <c r="C6" i="4"/>
  <c r="F6" i="4" s="1"/>
  <c r="B6" i="4"/>
  <c r="C5" i="4"/>
  <c r="F5" i="4" s="1"/>
  <c r="B5" i="4"/>
  <c r="C4" i="4"/>
  <c r="F4" i="4" s="1"/>
  <c r="B4" i="4"/>
  <c r="C3" i="4"/>
  <c r="F3" i="4" s="1"/>
  <c r="B3" i="4"/>
  <c r="F2" i="4"/>
  <c r="C2" i="4"/>
  <c r="C8" i="4" s="1"/>
  <c r="F8" i="4" s="1"/>
  <c r="B2" i="4"/>
  <c r="B8" i="4" s="1"/>
  <c r="P44" i="3"/>
  <c r="O44" i="3"/>
  <c r="N44" i="3"/>
  <c r="M44" i="3"/>
  <c r="J44" i="3"/>
  <c r="L44" i="3" s="1"/>
  <c r="P43" i="3"/>
  <c r="O43" i="3"/>
  <c r="N43" i="3"/>
  <c r="M43" i="3"/>
  <c r="L43" i="3"/>
  <c r="J43" i="3"/>
  <c r="P42" i="3"/>
  <c r="O42" i="3"/>
  <c r="Q42" i="3" s="1"/>
  <c r="N42" i="3"/>
  <c r="M42" i="3"/>
  <c r="L42" i="3"/>
  <c r="J42" i="3"/>
  <c r="P41" i="3"/>
  <c r="O41" i="3"/>
  <c r="Q41" i="3" s="1"/>
  <c r="N41" i="3"/>
  <c r="M41" i="3"/>
  <c r="J41" i="3"/>
  <c r="L41" i="3" s="1"/>
  <c r="P40" i="3"/>
  <c r="O40" i="3"/>
  <c r="Q40" i="3" s="1"/>
  <c r="N40" i="3"/>
  <c r="M40" i="3"/>
  <c r="J40" i="3"/>
  <c r="L40" i="3" s="1"/>
  <c r="P39" i="3"/>
  <c r="O39" i="3"/>
  <c r="Q39" i="3" s="1"/>
  <c r="N39" i="3"/>
  <c r="M39" i="3"/>
  <c r="J39" i="3"/>
  <c r="L39" i="3" s="1"/>
  <c r="P38" i="3"/>
  <c r="E7" i="4" s="1"/>
  <c r="O38" i="3"/>
  <c r="D7" i="4" s="1"/>
  <c r="N38" i="3"/>
  <c r="M38" i="3"/>
  <c r="J38" i="3"/>
  <c r="L38" i="3" s="1"/>
  <c r="P37" i="3"/>
  <c r="O37" i="3"/>
  <c r="Q37" i="3" s="1"/>
  <c r="N37" i="3"/>
  <c r="M37" i="3"/>
  <c r="J37" i="3"/>
  <c r="L37" i="3" s="1"/>
  <c r="P36" i="3"/>
  <c r="O36" i="3"/>
  <c r="Q36" i="3" s="1"/>
  <c r="N36" i="3"/>
  <c r="M36" i="3"/>
  <c r="L36" i="3"/>
  <c r="J36" i="3"/>
  <c r="P35" i="3"/>
  <c r="O35" i="3"/>
  <c r="N35" i="3"/>
  <c r="M35" i="3"/>
  <c r="L35" i="3"/>
  <c r="J35" i="3"/>
  <c r="P34" i="3"/>
  <c r="O34" i="3"/>
  <c r="Q34" i="3" s="1"/>
  <c r="N34" i="3"/>
  <c r="M34" i="3"/>
  <c r="L34" i="3"/>
  <c r="J34" i="3"/>
  <c r="P33" i="3"/>
  <c r="E6" i="4" s="1"/>
  <c r="O33" i="3"/>
  <c r="Q33" i="3" s="1"/>
  <c r="N33" i="3"/>
  <c r="M33" i="3"/>
  <c r="L33" i="3"/>
  <c r="J33" i="3"/>
  <c r="P32" i="3"/>
  <c r="O32" i="3"/>
  <c r="N32" i="3"/>
  <c r="M32" i="3"/>
  <c r="J32" i="3"/>
  <c r="L32" i="3" s="1"/>
  <c r="P31" i="3"/>
  <c r="O31" i="3"/>
  <c r="D6" i="4" s="1"/>
  <c r="N31" i="3"/>
  <c r="M31" i="3"/>
  <c r="L31" i="3"/>
  <c r="J31" i="3"/>
  <c r="P30" i="3"/>
  <c r="O30" i="3"/>
  <c r="Q30" i="3" s="1"/>
  <c r="N30" i="3"/>
  <c r="M30" i="3"/>
  <c r="L30" i="3"/>
  <c r="J30" i="3"/>
  <c r="P29" i="3"/>
  <c r="O29" i="3"/>
  <c r="N29" i="3"/>
  <c r="M29" i="3"/>
  <c r="J29" i="3"/>
  <c r="L29" i="3" s="1"/>
  <c r="P28" i="3"/>
  <c r="O28" i="3"/>
  <c r="Q28" i="3" s="1"/>
  <c r="N28" i="3"/>
  <c r="M28" i="3"/>
  <c r="L28" i="3"/>
  <c r="J28" i="3"/>
  <c r="P27" i="3"/>
  <c r="O27" i="3"/>
  <c r="Q27" i="3" s="1"/>
  <c r="N27" i="3"/>
  <c r="M27" i="3"/>
  <c r="J27" i="3"/>
  <c r="L27" i="3" s="1"/>
  <c r="P26" i="3"/>
  <c r="O26" i="3"/>
  <c r="N26" i="3"/>
  <c r="M26" i="3"/>
  <c r="J26" i="3"/>
  <c r="L26" i="3" s="1"/>
  <c r="P25" i="3"/>
  <c r="O25" i="3"/>
  <c r="Q25" i="3" s="1"/>
  <c r="N25" i="3"/>
  <c r="M25" i="3"/>
  <c r="J25" i="3"/>
  <c r="L25" i="3" s="1"/>
  <c r="P24" i="3"/>
  <c r="O24" i="3"/>
  <c r="Q24" i="3" s="1"/>
  <c r="N24" i="3"/>
  <c r="M24" i="3"/>
  <c r="L24" i="3"/>
  <c r="J24" i="3"/>
  <c r="P23" i="3"/>
  <c r="E5" i="4" s="1"/>
  <c r="O23" i="3"/>
  <c r="D5" i="4" s="1"/>
  <c r="N23" i="3"/>
  <c r="M23" i="3"/>
  <c r="J23" i="3"/>
  <c r="L23" i="3" s="1"/>
  <c r="P22" i="3"/>
  <c r="O22" i="3"/>
  <c r="Q22" i="3" s="1"/>
  <c r="N22" i="3"/>
  <c r="M22" i="3"/>
  <c r="L22" i="3"/>
  <c r="J22" i="3"/>
  <c r="P21" i="3"/>
  <c r="O21" i="3"/>
  <c r="Q21" i="3" s="1"/>
  <c r="N21" i="3"/>
  <c r="M21" i="3"/>
  <c r="L21" i="3"/>
  <c r="J21" i="3"/>
  <c r="P20" i="3"/>
  <c r="O20" i="3"/>
  <c r="N20" i="3"/>
  <c r="M20" i="3"/>
  <c r="J20" i="3"/>
  <c r="L20" i="3" s="1"/>
  <c r="P19" i="3"/>
  <c r="O19" i="3"/>
  <c r="N19" i="3"/>
  <c r="M19" i="3"/>
  <c r="L19" i="3"/>
  <c r="J19" i="3"/>
  <c r="P18" i="3"/>
  <c r="O18" i="3"/>
  <c r="N18" i="3"/>
  <c r="M18" i="3"/>
  <c r="L18" i="3"/>
  <c r="J18" i="3"/>
  <c r="P17" i="3"/>
  <c r="O17" i="3"/>
  <c r="N17" i="3"/>
  <c r="M17" i="3"/>
  <c r="J17" i="3"/>
  <c r="L17" i="3" s="1"/>
  <c r="P16" i="3"/>
  <c r="E4" i="4" s="1"/>
  <c r="O16" i="3"/>
  <c r="Q16" i="3" s="1"/>
  <c r="N16" i="3"/>
  <c r="M16" i="3"/>
  <c r="L16" i="3"/>
  <c r="J16" i="3"/>
  <c r="P15" i="3"/>
  <c r="O15" i="3"/>
  <c r="Q15" i="3" s="1"/>
  <c r="N15" i="3"/>
  <c r="M15" i="3"/>
  <c r="J15" i="3"/>
  <c r="L15" i="3" s="1"/>
  <c r="P14" i="3"/>
  <c r="O14" i="3"/>
  <c r="N14" i="3"/>
  <c r="M14" i="3"/>
  <c r="J14" i="3"/>
  <c r="L14" i="3" s="1"/>
  <c r="P13" i="3"/>
  <c r="O13" i="3"/>
  <c r="Q13" i="3" s="1"/>
  <c r="N13" i="3"/>
  <c r="M13" i="3"/>
  <c r="J13" i="3"/>
  <c r="L13" i="3" s="1"/>
  <c r="P12" i="3"/>
  <c r="O12" i="3"/>
  <c r="Q12" i="3" s="1"/>
  <c r="N12" i="3"/>
  <c r="M12" i="3"/>
  <c r="J12" i="3"/>
  <c r="L12" i="3" s="1"/>
  <c r="Q11" i="3"/>
  <c r="P11" i="3"/>
  <c r="O11" i="3"/>
  <c r="N11" i="3"/>
  <c r="M11" i="3"/>
  <c r="J11" i="3"/>
  <c r="L11" i="3" s="1"/>
  <c r="P10" i="3"/>
  <c r="O10" i="3"/>
  <c r="Q10" i="3" s="1"/>
  <c r="N10" i="3"/>
  <c r="M10" i="3"/>
  <c r="L10" i="3"/>
  <c r="J10" i="3"/>
  <c r="P9" i="3"/>
  <c r="E3" i="4" s="1"/>
  <c r="O9" i="3"/>
  <c r="Q23" i="3" s="1"/>
  <c r="N9" i="3"/>
  <c r="M9" i="3"/>
  <c r="L9" i="3"/>
  <c r="J9" i="3"/>
  <c r="P8" i="3"/>
  <c r="O8" i="3"/>
  <c r="N8" i="3"/>
  <c r="M8" i="3"/>
  <c r="J8" i="3"/>
  <c r="L8" i="3" s="1"/>
  <c r="Q7" i="3"/>
  <c r="P7" i="3"/>
  <c r="O7" i="3"/>
  <c r="N7" i="3"/>
  <c r="M7" i="3"/>
  <c r="L7" i="3"/>
  <c r="J7" i="3"/>
  <c r="P6" i="3"/>
  <c r="O6" i="3"/>
  <c r="N6" i="3"/>
  <c r="M6" i="3"/>
  <c r="L6" i="3"/>
  <c r="J6" i="3"/>
  <c r="P5" i="3"/>
  <c r="O5" i="3"/>
  <c r="N5" i="3"/>
  <c r="M5" i="3"/>
  <c r="J5" i="3"/>
  <c r="L5" i="3" s="1"/>
  <c r="P4" i="3"/>
  <c r="O4" i="3"/>
  <c r="Q6" i="3" s="1"/>
  <c r="N4" i="3"/>
  <c r="M4" i="3"/>
  <c r="L4" i="3"/>
  <c r="J4" i="3"/>
  <c r="P3" i="3"/>
  <c r="O3" i="3"/>
  <c r="Q3" i="3" s="1"/>
  <c r="N3" i="3"/>
  <c r="M3" i="3"/>
  <c r="J3" i="3"/>
  <c r="L3" i="3" s="1"/>
  <c r="P2" i="3"/>
  <c r="E2" i="4" s="1"/>
  <c r="O2" i="3"/>
  <c r="D2" i="4" s="1"/>
  <c r="N2" i="3"/>
  <c r="M2" i="3"/>
  <c r="J2" i="3"/>
  <c r="L2" i="3" s="1"/>
  <c r="H6" i="2" s="1"/>
  <c r="F6" i="2"/>
  <c r="B6" i="2"/>
  <c r="E8" i="4" l="1"/>
  <c r="Q8" i="3"/>
  <c r="Q44" i="3"/>
  <c r="Q20" i="3"/>
  <c r="D6" i="2"/>
  <c r="D4" i="4"/>
  <c r="Q32" i="3"/>
  <c r="Q5" i="3"/>
  <c r="Q29" i="3"/>
  <c r="Q17" i="3"/>
  <c r="Q19" i="3"/>
  <c r="Q31" i="3"/>
  <c r="Q43" i="3"/>
  <c r="Q38" i="3"/>
  <c r="Q26" i="3"/>
  <c r="Q9" i="3"/>
  <c r="Q2" i="3"/>
  <c r="Q14" i="3"/>
  <c r="Q4" i="3"/>
  <c r="D3" i="4"/>
  <c r="D8" i="4" s="1"/>
  <c r="Q35" i="3"/>
  <c r="Q18" i="3"/>
  <c r="D21" i="2" l="1"/>
  <c r="D15" i="2"/>
  <c r="C15" i="2"/>
  <c r="D20" i="2"/>
  <c r="C21" i="2"/>
  <c r="D14" i="2"/>
  <c r="C20" i="2"/>
  <c r="C14" i="2"/>
  <c r="D19" i="2"/>
  <c r="D13" i="2"/>
  <c r="C13" i="2"/>
  <c r="D12" i="2"/>
  <c r="C19" i="2"/>
  <c r="C18" i="2"/>
  <c r="C12" i="2"/>
  <c r="D17" i="2"/>
  <c r="C17" i="2"/>
  <c r="C16" i="2"/>
  <c r="D16" i="2"/>
  <c r="D18" i="2"/>
</calcChain>
</file>

<file path=xl/sharedStrings.xml><?xml version="1.0" encoding="utf-8"?>
<sst xmlns="http://schemas.openxmlformats.org/spreadsheetml/2006/main" count="152" uniqueCount="101">
  <si>
    <t>Kirana Store Reorder &amp; Wastage Tracker</t>
  </si>
  <si>
    <t>Project Objective</t>
  </si>
  <si>
    <t>A small kirana (grocery) store owner cannot see, at a glance, which products are about to run out of stock or which categories are losing the most money to wastage (spoilage, damage, expiry). This workbook turns raw daily stock data into a live dashboard that answers both questions automatically.</t>
  </si>
  <si>
    <t>Sheets in this Workbook</t>
  </si>
  <si>
    <t>- Dashboard - KPI cards, Top 10 products chart, wastage % by category chart.</t>
  </si>
  <si>
    <t>- Raw_Data - 43 products, 6 categories, input data (blue font) and calculated columns (black font).</t>
  </si>
  <si>
    <t>- Category_Summary - SUMIFS-based rollup of sales, wastage and wastage % by category.</t>
  </si>
  <si>
    <t>Key Formulas Used</t>
  </si>
  <si>
    <t>- Closing Stock:  =Opening Stock + Purchased Qty - Sold Qty - Wastage Qty</t>
  </si>
  <si>
    <t>- Reorder Status:  =IF(Closing Stock &lt; Reorder Level, "Reorder Now", "OK")</t>
  </si>
  <si>
    <t>- Wastage %:  =IFERROR(Wastage Qty / (Sold Qty + Wastage Qty), 0)</t>
  </si>
  <si>
    <t>- Total Sales Value:  =Sold Qty * Selling Price</t>
  </si>
  <si>
    <t>- Total Wastage Value:  =Wastage Qty * Purchase Price</t>
  </si>
  <si>
    <t>- Sales Rank:  =RANK(Total Sales Value, range, 0)</t>
  </si>
  <si>
    <t>- Category Rollups:  =SUMIFS(value_range, category_range, category_name)</t>
  </si>
  <si>
    <t>- Top 10 Product Lookup:  =INDEX(name_range, MATCH(rank_number, rank_range, 0))</t>
  </si>
  <si>
    <t>Color Legend</t>
  </si>
  <si>
    <t>Blue font = hardcoded input data.   Black font = formula-driven calculated value.</t>
  </si>
  <si>
    <t>Red highlight = product needs reorder.   Green highlight = stock is healthy.</t>
  </si>
  <si>
    <t>Note on Data</t>
  </si>
  <si>
    <t>Product, price and quantity data is simulated for portfolio/practice purposes (not from a real store). Structure and formula logic reflect how a real kirana store's inventory sheet would be built.</t>
  </si>
  <si>
    <t>Kirana Store Reorder &amp; Wastage Dashboard</t>
  </si>
  <si>
    <t>Inventory, sales and wastage snapshot across 43 products in 6 categories</t>
  </si>
  <si>
    <t>Total Revenue</t>
  </si>
  <si>
    <t>Total Wastage Cost</t>
  </si>
  <si>
    <t>Overall Wastage %</t>
  </si>
  <si>
    <t>Products to Reorder</t>
  </si>
  <si>
    <t>Top 10 Products by Sales Value</t>
  </si>
  <si>
    <t>Products Needing Reorder</t>
  </si>
  <si>
    <t>Rank</t>
  </si>
  <si>
    <t>Product Name</t>
  </si>
  <si>
    <t>Sales Value (Rs)</t>
  </si>
  <si>
    <t>Closing Stock</t>
  </si>
  <si>
    <t>Reorder Level</t>
  </si>
  <si>
    <t>See 'Raw_Data' sheet, column L (Reorder Status).
Filter that column to 'Reorder Now' to see the exact list.
Count of items needing reorder is shown in the KPI card above.</t>
  </si>
  <si>
    <t>Product ID</t>
  </si>
  <si>
    <t>Category</t>
  </si>
  <si>
    <t>Purchase Price (Rs)</t>
  </si>
  <si>
    <t>Selling Price (Rs)</t>
  </si>
  <si>
    <t>Opening Stock</t>
  </si>
  <si>
    <t>Purchased Qty</t>
  </si>
  <si>
    <t>Sold Qty</t>
  </si>
  <si>
    <t>Wastage Qty</t>
  </si>
  <si>
    <t>Reorder Status</t>
  </si>
  <si>
    <t>Wastage %</t>
  </si>
  <si>
    <t>Profit per Unit (Rs)</t>
  </si>
  <si>
    <t>Total Sales Value (Rs)</t>
  </si>
  <si>
    <t>Total Wastage Value (Rs)</t>
  </si>
  <si>
    <t>Sales Rank</t>
  </si>
  <si>
    <t>Toned Milk 500ml</t>
  </si>
  <si>
    <t>Dairy</t>
  </si>
  <si>
    <t>Full Cream Milk 1L</t>
  </si>
  <si>
    <t>Curd 400g</t>
  </si>
  <si>
    <t>Paneer 200g</t>
  </si>
  <si>
    <t>Butter 100g</t>
  </si>
  <si>
    <t>Cheese Slices 200g</t>
  </si>
  <si>
    <t>Ghee 500ml</t>
  </si>
  <si>
    <t>Aloo Bhujia 200g</t>
  </si>
  <si>
    <t>Snacks &amp; Namkeen</t>
  </si>
  <si>
    <t>Potato Chips 100g</t>
  </si>
  <si>
    <t>Mixture 250g</t>
  </si>
  <si>
    <t>Banana Chips 150g</t>
  </si>
  <si>
    <t>Salted Peanuts 200g</t>
  </si>
  <si>
    <t>Sev 200g</t>
  </si>
  <si>
    <t>Namkeen Mix 500g</t>
  </si>
  <si>
    <t>Cola 750ml</t>
  </si>
  <si>
    <t>Beverages</t>
  </si>
  <si>
    <t>Orange Juice 1L</t>
  </si>
  <si>
    <t>Mineral Water 1L</t>
  </si>
  <si>
    <t>Lemon Drink 500ml</t>
  </si>
  <si>
    <t>Tea Powder 250g</t>
  </si>
  <si>
    <t>Instant Coffee 100g</t>
  </si>
  <si>
    <t>Energy Drink 250ml</t>
  </si>
  <si>
    <t>Basmati Rice 5kg</t>
  </si>
  <si>
    <t>Grocery &amp; Staples</t>
  </si>
  <si>
    <t>Wheat Flour 5kg</t>
  </si>
  <si>
    <t>Toor Dal 1kg</t>
  </si>
  <si>
    <t>Sugar 1kg</t>
  </si>
  <si>
    <t>Cooking Oil 1L</t>
  </si>
  <si>
    <t>Salt 1kg</t>
  </si>
  <si>
    <t>Besan 500g</t>
  </si>
  <si>
    <t>Poha 500g</t>
  </si>
  <si>
    <t>Shampoo 200ml</t>
  </si>
  <si>
    <t>Personal Care</t>
  </si>
  <si>
    <t>Toothpaste 150g</t>
  </si>
  <si>
    <t>Soap Bar 100g</t>
  </si>
  <si>
    <t>Hair Oil 200ml</t>
  </si>
  <si>
    <t>Face Wash 100ml</t>
  </si>
  <si>
    <t>Talcum Powder 100g</t>
  </si>
  <si>
    <t>Razor Pack</t>
  </si>
  <si>
    <t>Detergent Powder 1kg</t>
  </si>
  <si>
    <t>Household Items</t>
  </si>
  <si>
    <t>Dish Wash Bar</t>
  </si>
  <si>
    <t>Floor Cleaner 1L</t>
  </si>
  <si>
    <t>Toilet Cleaner 500ml</t>
  </si>
  <si>
    <t>Room Freshener</t>
  </si>
  <si>
    <t>Broom</t>
  </si>
  <si>
    <t>Garbage Bags Pack</t>
  </si>
  <si>
    <t>Total Sold Qty</t>
  </si>
  <si>
    <t>Total Wastage Qty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</si>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</sst>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s &quot;#,##0"/>
    <numFmt numFmtId="165" formatCode="0.0%"/>
    <numFmt numFmtId="166" formatCode="&quot;Rs &quot;#,##0.00"/>
  </numFmts>
  <fonts count="13" x14ac:knownFonts="1">
    <font>
      <sz val="11"/>
      <color theme="1"/>
      <name val="Calibri"/>
      <family val="2"/>
      <charset val="1"/>
    </font>
    <font>
      <b/>
      <sz val="16"/>
      <color rgb="FF2E5395"/>
      <name val="Arial"/>
      <charset val="1"/>
    </font>
    <font>
      <b/>
      <sz val="12"/>
      <color rgb="FF2E5395"/>
      <name val="Arial"/>
      <charset val="1"/>
    </font>
    <font>
      <sz val="10.5"/>
      <color rgb="FF000000"/>
      <name val="Arial"/>
      <charset val="1"/>
    </font>
    <font>
      <b/>
      <sz val="18"/>
      <color rgb="FF2E5395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395"/>
        <bgColor rgb="FF595959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0" borderId="0" xfId="0" applyFont="1" applyAlignment="1">
      <alignment horizontal="left" vertical="top" wrapText="1"/>
    </xf>
    <xf numFmtId="1" fontId="7" fillId="5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5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/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6" fontId="11" fillId="0" borderId="1" xfId="0" applyNumberFormat="1" applyFont="1" applyBorder="1"/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/>
    <xf numFmtId="166" fontId="9" fillId="0" borderId="1" xfId="0" applyNumberFormat="1" applyFont="1" applyBorder="1"/>
    <xf numFmtId="0" fontId="12" fillId="6" borderId="1" xfId="0" applyFont="1" applyFill="1" applyBorder="1"/>
    <xf numFmtId="164" fontId="12" fillId="6" borderId="1" xfId="0" applyNumberFormat="1" applyFont="1" applyFill="1" applyBorder="1"/>
    <xf numFmtId="165" fontId="12" fillId="6" borderId="1" xfId="0" applyNumberFormat="1" applyFon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E67E22"/>
      <rgbColor rgb="FF595959"/>
      <rgbColor rgb="FF878787"/>
      <rgbColor rgb="FF003366"/>
      <rgbColor rgb="FF27AE60"/>
      <rgbColor rgb="FF003300"/>
      <rgbColor rgb="FF333300"/>
      <rgbColor rgb="FFC0392B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Wastage %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Category_Summary!$F$1</c:f>
              <c:strCache>
                <c:ptCount val="1"/>
                <c:pt idx="0">
                  <c:v>Wastage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Category_Summary!$A$2:$A$7</c:f>
              <c:strCache>
                <c:ptCount val="6"/>
                <c:pt idx="0">
                  <c:v>Dairy</c:v>
                </c:pt>
                <c:pt idx="1">
                  <c:v>Snacks &amp; Namkeen</c:v>
                </c:pt>
                <c:pt idx="2">
                  <c:v>Beverages</c:v>
                </c:pt>
                <c:pt idx="3">
                  <c:v>Grocery &amp; Staples</c:v>
                </c:pt>
                <c:pt idx="4">
                  <c:v>Personal Care</c:v>
                </c:pt>
                <c:pt idx="5">
                  <c:v>Household Items</c:v>
                </c:pt>
              </c:strCache>
            </c:strRef>
          </c:cat>
          <c:val>
            <c:numRef>
              <c:f>Category_Summary!$F$2:$F$7</c:f>
              <c:numCache>
                <c:formatCode>0.0%</c:formatCode>
                <c:ptCount val="6"/>
                <c:pt idx="0">
                  <c:v>0.1532567049808429</c:v>
                </c:pt>
                <c:pt idx="1">
                  <c:v>6.1714285714285715E-2</c:v>
                </c:pt>
                <c:pt idx="2">
                  <c:v>4.6413502109704644E-2</c:v>
                </c:pt>
                <c:pt idx="3">
                  <c:v>4.9411764705882349E-2</c:v>
                </c:pt>
                <c:pt idx="4">
                  <c:v>4.6286329386437029E-2</c:v>
                </c:pt>
                <c:pt idx="5">
                  <c:v>2.7597402597402596E-2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A-4EDD-B5C3-07A498521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86208"/>
        <c:axId val="81336255"/>
      </c:barChart>
      <c:catAx>
        <c:axId val="73186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336255"/>
        <c:crosses val="autoZero"/>
        <c:auto val="1"/>
        <c:lblAlgn val="ctr"/>
        <c:lblOffset val="100"/>
        <c:noMultiLvlLbl val="0"/>
      </c:catAx>
      <c:valAx>
        <c:axId val="81336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Wastage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86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Dashboard!$D$11</c:f>
              <c:strCache>
                <c:ptCount val="1"/>
                <c:pt idx="0">
                  <c:v>Sales Value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Dashboard!$C$12:$C$21</c:f>
              <c:strCache>
                <c:ptCount val="10"/>
                <c:pt idx="0">
                  <c:v>Namkeen Mix 500g</c:v>
                </c:pt>
                <c:pt idx="1">
                  <c:v>Hair Oil 200ml</c:v>
                </c:pt>
                <c:pt idx="2">
                  <c:v>Tea Powder 250g</c:v>
                </c:pt>
                <c:pt idx="3">
                  <c:v>Energy Drink 250ml</c:v>
                </c:pt>
                <c:pt idx="4">
                  <c:v>Floor Cleaner 1L</c:v>
                </c:pt>
                <c:pt idx="5">
                  <c:v>Sev 200g</c:v>
                </c:pt>
                <c:pt idx="6">
                  <c:v>Razor Pack</c:v>
                </c:pt>
                <c:pt idx="7">
                  <c:v>Potato Chips 100g</c:v>
                </c:pt>
                <c:pt idx="8">
                  <c:v>Detergent Powder 1kg</c:v>
                </c:pt>
                <c:pt idx="9">
                  <c:v>Wheat Flour 5kg</c:v>
                </c:pt>
              </c:strCache>
            </c:strRef>
          </c:cat>
          <c:val>
            <c:numRef>
              <c:f>Dashboard!$D$12:$D$21</c:f>
              <c:numCache>
                <c:formatCode>"Rs "#,##0</c:formatCode>
                <c:ptCount val="10"/>
                <c:pt idx="0">
                  <c:v>67372.2</c:v>
                </c:pt>
                <c:pt idx="1">
                  <c:v>55829.3</c:v>
                </c:pt>
                <c:pt idx="2">
                  <c:v>53844.21</c:v>
                </c:pt>
                <c:pt idx="3">
                  <c:v>51074.239999999998</c:v>
                </c:pt>
                <c:pt idx="4">
                  <c:v>49332.479999999996</c:v>
                </c:pt>
                <c:pt idx="5">
                  <c:v>47573.75</c:v>
                </c:pt>
                <c:pt idx="6">
                  <c:v>46663.78</c:v>
                </c:pt>
                <c:pt idx="7">
                  <c:v>42666.78</c:v>
                </c:pt>
                <c:pt idx="8">
                  <c:v>36277.600000000006</c:v>
                </c:pt>
                <c:pt idx="9">
                  <c:v>34979.1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E-476E-8FEF-905DA380E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18767"/>
        <c:axId val="21842095"/>
      </c:barChart>
      <c:catAx>
        <c:axId val="487187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Value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42095"/>
        <c:crosses val="autoZero"/>
        <c:auto val="1"/>
        <c:lblAlgn val="ctr"/>
        <c:lblOffset val="100"/>
        <c:noMultiLvlLbl val="0"/>
      </c:catAx>
      <c:valAx>
        <c:axId val="218420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18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100800</xdr:rowOff>
    </xdr:from>
    <xdr:to>
      <xdr:col>10</xdr:col>
      <xdr:colOff>63500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100800</xdr:rowOff>
    </xdr:from>
    <xdr:to>
      <xdr:col>6</xdr:col>
      <xdr:colOff>584200</xdr:colOff>
      <xdr:row>58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tabSelected="1" topLeftCell="A2" zoomScale="76" zoomScaleNormal="100" workbookViewId="0"/>
  </sheetViews>
  <sheetFormatPr defaultColWidth="8.6328125" defaultRowHeight="14.5" x14ac:dyDescent="0.35"/>
  <cols>
    <col min="1" max="1" width="2" customWidth="1"/>
    <col min="2" max="2" width="100" customWidth="1"/>
  </cols>
  <sheetData>
    <row r="2" spans="2:2" ht="20" x14ac:dyDescent="0.4">
      <c r="B2" s="12" t="s">
        <v>0</v>
      </c>
    </row>
    <row r="4" spans="2:2" ht="15.5" x14ac:dyDescent="0.35">
      <c r="B4" s="13" t="s">
        <v>1</v>
      </c>
    </row>
    <row r="5" spans="2:2" ht="60" customHeight="1" x14ac:dyDescent="0.35">
      <c r="B5" s="14" t="s">
        <v>2</v>
      </c>
    </row>
    <row r="7" spans="2:2" ht="15.5" x14ac:dyDescent="0.35">
      <c r="B7" s="13" t="s">
        <v>3</v>
      </c>
    </row>
    <row r="8" spans="2:2" x14ac:dyDescent="0.35">
      <c r="B8" s="15" t="s">
        <v>4</v>
      </c>
    </row>
    <row r="9" spans="2:2" x14ac:dyDescent="0.35">
      <c r="B9" s="15" t="s">
        <v>5</v>
      </c>
    </row>
    <row r="10" spans="2:2" x14ac:dyDescent="0.35">
      <c r="B10" s="15" t="s">
        <v>6</v>
      </c>
    </row>
    <row r="12" spans="2:2" ht="15.5" x14ac:dyDescent="0.35">
      <c r="B12" s="13" t="s">
        <v>7</v>
      </c>
    </row>
    <row r="13" spans="2:2" x14ac:dyDescent="0.35">
      <c r="B13" s="15" t="s">
        <v>8</v>
      </c>
    </row>
    <row r="14" spans="2:2" x14ac:dyDescent="0.35">
      <c r="B14" s="15" t="s">
        <v>9</v>
      </c>
    </row>
    <row r="15" spans="2:2" x14ac:dyDescent="0.35">
      <c r="B15" s="15" t="s">
        <v>10</v>
      </c>
    </row>
    <row r="16" spans="2:2" x14ac:dyDescent="0.35">
      <c r="B16" s="15" t="s">
        <v>11</v>
      </c>
    </row>
    <row r="17" spans="2:2" x14ac:dyDescent="0.35">
      <c r="B17" s="15" t="s">
        <v>12</v>
      </c>
    </row>
    <row r="18" spans="2:2" x14ac:dyDescent="0.35">
      <c r="B18" s="15" t="s">
        <v>13</v>
      </c>
    </row>
    <row r="19" spans="2:2" x14ac:dyDescent="0.35">
      <c r="B19" s="15" t="s">
        <v>14</v>
      </c>
    </row>
    <row r="20" spans="2:2" x14ac:dyDescent="0.35">
      <c r="B20" s="15" t="s">
        <v>15</v>
      </c>
    </row>
    <row r="22" spans="2:2" ht="15.5" x14ac:dyDescent="0.35">
      <c r="B22" s="13" t="s">
        <v>16</v>
      </c>
    </row>
    <row r="23" spans="2:2" x14ac:dyDescent="0.35">
      <c r="B23" s="15" t="s">
        <v>17</v>
      </c>
    </row>
    <row r="24" spans="2:2" x14ac:dyDescent="0.35">
      <c r="B24" s="15" t="s">
        <v>18</v>
      </c>
    </row>
    <row r="26" spans="2:2" ht="15.5" x14ac:dyDescent="0.35">
      <c r="B26" s="13" t="s">
        <v>19</v>
      </c>
    </row>
    <row r="27" spans="2:2" ht="39.75" customHeight="1" x14ac:dyDescent="0.35">
      <c r="B27" s="1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1"/>
  <sheetViews>
    <sheetView topLeftCell="A26" zoomScaleNormal="100" workbookViewId="0">
      <selection activeCell="I43" sqref="I43"/>
    </sheetView>
  </sheetViews>
  <sheetFormatPr defaultColWidth="8.6328125" defaultRowHeight="14.5" x14ac:dyDescent="0.35"/>
  <cols>
    <col min="1" max="1" width="3" customWidth="1"/>
    <col min="2" max="2" width="14" customWidth="1"/>
    <col min="3" max="3" width="24" customWidth="1"/>
    <col min="4" max="5" width="14" customWidth="1"/>
    <col min="6" max="6" width="18" customWidth="1"/>
    <col min="7" max="9" width="14" customWidth="1"/>
  </cols>
  <sheetData>
    <row r="2" spans="2:9" ht="23" x14ac:dyDescent="0.5">
      <c r="B2" s="11" t="s">
        <v>21</v>
      </c>
      <c r="C2" s="11"/>
      <c r="D2" s="11"/>
      <c r="E2" s="11"/>
      <c r="F2" s="11"/>
      <c r="G2" s="11"/>
      <c r="H2" s="11"/>
      <c r="I2" s="11"/>
    </row>
    <row r="3" spans="2:9" x14ac:dyDescent="0.35">
      <c r="B3" s="10" t="s">
        <v>22</v>
      </c>
      <c r="C3" s="10"/>
      <c r="D3" s="10"/>
      <c r="E3" s="10"/>
      <c r="F3" s="10"/>
      <c r="G3" s="10"/>
      <c r="H3" s="10"/>
      <c r="I3" s="10"/>
    </row>
    <row r="5" spans="2:9" ht="21.75" customHeight="1" x14ac:dyDescent="0.35">
      <c r="B5" s="9" t="s">
        <v>23</v>
      </c>
      <c r="C5" s="9"/>
      <c r="D5" s="8" t="s">
        <v>24</v>
      </c>
      <c r="E5" s="8"/>
      <c r="F5" s="7" t="s">
        <v>25</v>
      </c>
      <c r="G5" s="7"/>
      <c r="H5" s="6" t="s">
        <v>26</v>
      </c>
      <c r="I5" s="6"/>
    </row>
    <row r="6" spans="2:9" ht="21.75" customHeight="1" x14ac:dyDescent="0.35">
      <c r="B6" s="5">
        <f>SUM(Raw_Data!O2:O44)</f>
        <v>1079244.71</v>
      </c>
      <c r="C6" s="5"/>
      <c r="D6" s="4">
        <f>SUM(Raw_Data!P2:P44)</f>
        <v>53446.520000000004</v>
      </c>
      <c r="E6" s="4"/>
      <c r="F6" s="3">
        <f>SUM(Raw_Data!I2:I44)/(SUM(Raw_Data!H2:H44)+SUM(Raw_Data!I2:I44))</f>
        <v>6.3987202559488102E-2</v>
      </c>
      <c r="G6" s="3"/>
      <c r="H6" s="2">
        <f>COUNTIF(Raw_Data!L2:L44,"Reorder Now")</f>
        <v>21</v>
      </c>
      <c r="I6" s="2"/>
    </row>
    <row r="7" spans="2:9" ht="21.75" customHeight="1" x14ac:dyDescent="0.35">
      <c r="B7" s="5"/>
      <c r="C7" s="5"/>
      <c r="D7" s="4"/>
      <c r="E7" s="4"/>
      <c r="F7" s="3"/>
      <c r="G7" s="3"/>
      <c r="H7" s="2"/>
      <c r="I7" s="2"/>
    </row>
    <row r="10" spans="2:9" ht="15.5" x14ac:dyDescent="0.35">
      <c r="B10" s="13" t="s">
        <v>27</v>
      </c>
      <c r="F10" s="13" t="s">
        <v>28</v>
      </c>
    </row>
    <row r="11" spans="2:9" x14ac:dyDescent="0.35">
      <c r="B11" s="17" t="s">
        <v>29</v>
      </c>
      <c r="C11" s="17" t="s">
        <v>30</v>
      </c>
      <c r="D11" s="17" t="s">
        <v>31</v>
      </c>
      <c r="F11" s="17" t="s">
        <v>30</v>
      </c>
      <c r="G11" s="17" t="s">
        <v>32</v>
      </c>
      <c r="H11" s="17" t="s">
        <v>33</v>
      </c>
    </row>
    <row r="12" spans="2:9" ht="15" customHeight="1" x14ac:dyDescent="0.35">
      <c r="B12" s="18">
        <v>1</v>
      </c>
      <c r="C12" s="18" t="str">
        <f>INDEX(Raw_Data!$B$2:$B$44,MATCH(B12,Raw_Data!$Q$2:$Q$44,0))</f>
        <v>Namkeen Mix 500g</v>
      </c>
      <c r="D12" s="19">
        <f>INDEX(Raw_Data!$O$2:$O$44,MATCH(B12,Raw_Data!$Q$2:$Q$44,0))</f>
        <v>67372.2</v>
      </c>
      <c r="F12" s="1" t="s">
        <v>34</v>
      </c>
      <c r="G12" s="1"/>
      <c r="H12" s="1"/>
    </row>
    <row r="13" spans="2:9" x14ac:dyDescent="0.35">
      <c r="B13" s="18">
        <v>2</v>
      </c>
      <c r="C13" s="18" t="str">
        <f>INDEX(Raw_Data!$B$2:$B$44,MATCH(B13,Raw_Data!$Q$2:$Q$44,0))</f>
        <v>Hair Oil 200ml</v>
      </c>
      <c r="D13" s="19">
        <f>INDEX(Raw_Data!$O$2:$O$44,MATCH(B13,Raw_Data!$Q$2:$Q$44,0))</f>
        <v>55829.3</v>
      </c>
      <c r="F13" s="1"/>
      <c r="G13" s="1"/>
      <c r="H13" s="1"/>
    </row>
    <row r="14" spans="2:9" x14ac:dyDescent="0.35">
      <c r="B14" s="18">
        <v>3</v>
      </c>
      <c r="C14" s="18" t="str">
        <f>INDEX(Raw_Data!$B$2:$B$44,MATCH(B14,Raw_Data!$Q$2:$Q$44,0))</f>
        <v>Tea Powder 250g</v>
      </c>
      <c r="D14" s="19">
        <f>INDEX(Raw_Data!$O$2:$O$44,MATCH(B14,Raw_Data!$Q$2:$Q$44,0))</f>
        <v>53844.21</v>
      </c>
      <c r="F14" s="1"/>
      <c r="G14" s="1"/>
      <c r="H14" s="1"/>
    </row>
    <row r="15" spans="2:9" x14ac:dyDescent="0.35">
      <c r="B15" s="18">
        <v>4</v>
      </c>
      <c r="C15" s="18" t="str">
        <f>INDEX(Raw_Data!$B$2:$B$44,MATCH(B15,Raw_Data!$Q$2:$Q$44,0))</f>
        <v>Energy Drink 250ml</v>
      </c>
      <c r="D15" s="19">
        <f>INDEX(Raw_Data!$O$2:$O$44,MATCH(B15,Raw_Data!$Q$2:$Q$44,0))</f>
        <v>51074.239999999998</v>
      </c>
    </row>
    <row r="16" spans="2:9" x14ac:dyDescent="0.35">
      <c r="B16" s="18">
        <v>5</v>
      </c>
      <c r="C16" s="18" t="str">
        <f>INDEX(Raw_Data!$B$2:$B$44,MATCH(B16,Raw_Data!$Q$2:$Q$44,0))</f>
        <v>Floor Cleaner 1L</v>
      </c>
      <c r="D16" s="19">
        <f>INDEX(Raw_Data!$O$2:$O$44,MATCH(B16,Raw_Data!$Q$2:$Q$44,0))</f>
        <v>49332.479999999996</v>
      </c>
    </row>
    <row r="17" spans="2:4" x14ac:dyDescent="0.35">
      <c r="B17" s="18">
        <v>6</v>
      </c>
      <c r="C17" s="18" t="str">
        <f>INDEX(Raw_Data!$B$2:$B$44,MATCH(B17,Raw_Data!$Q$2:$Q$44,0))</f>
        <v>Sev 200g</v>
      </c>
      <c r="D17" s="19">
        <f>INDEX(Raw_Data!$O$2:$O$44,MATCH(B17,Raw_Data!$Q$2:$Q$44,0))</f>
        <v>47573.75</v>
      </c>
    </row>
    <row r="18" spans="2:4" x14ac:dyDescent="0.35">
      <c r="B18" s="18">
        <v>7</v>
      </c>
      <c r="C18" s="18" t="str">
        <f>INDEX(Raw_Data!$B$2:$B$44,MATCH(B18,Raw_Data!$Q$2:$Q$44,0))</f>
        <v>Razor Pack</v>
      </c>
      <c r="D18" s="19">
        <f>INDEX(Raw_Data!$O$2:$O$44,MATCH(B18,Raw_Data!$Q$2:$Q$44,0))</f>
        <v>46663.78</v>
      </c>
    </row>
    <row r="19" spans="2:4" x14ac:dyDescent="0.35">
      <c r="B19" s="18">
        <v>8</v>
      </c>
      <c r="C19" s="18" t="str">
        <f>INDEX(Raw_Data!$B$2:$B$44,MATCH(B19,Raw_Data!$Q$2:$Q$44,0))</f>
        <v>Potato Chips 100g</v>
      </c>
      <c r="D19" s="19">
        <f>INDEX(Raw_Data!$O$2:$O$44,MATCH(B19,Raw_Data!$Q$2:$Q$44,0))</f>
        <v>42666.78</v>
      </c>
    </row>
    <row r="20" spans="2:4" x14ac:dyDescent="0.35">
      <c r="B20" s="18">
        <v>9</v>
      </c>
      <c r="C20" s="18" t="str">
        <f>INDEX(Raw_Data!$B$2:$B$44,MATCH(B20,Raw_Data!$Q$2:$Q$44,0))</f>
        <v>Detergent Powder 1kg</v>
      </c>
      <c r="D20" s="19">
        <f>INDEX(Raw_Data!$O$2:$O$44,MATCH(B20,Raw_Data!$Q$2:$Q$44,0))</f>
        <v>36277.600000000006</v>
      </c>
    </row>
    <row r="21" spans="2:4" x14ac:dyDescent="0.35">
      <c r="B21" s="18">
        <v>10</v>
      </c>
      <c r="C21" s="18" t="str">
        <f>INDEX(Raw_Data!$B$2:$B$44,MATCH(B21,Raw_Data!$Q$2:$Q$44,0))</f>
        <v>Wheat Flour 5kg</v>
      </c>
      <c r="D21" s="19">
        <f>INDEX(Raw_Data!$O$2:$O$44,MATCH(B21,Raw_Data!$Q$2:$Q$44,0))</f>
        <v>34979.1</v>
      </c>
    </row>
  </sheetData>
  <mergeCells count="11">
    <mergeCell ref="B6:C7"/>
    <mergeCell ref="D6:E7"/>
    <mergeCell ref="F6:G7"/>
    <mergeCell ref="H6:I7"/>
    <mergeCell ref="F12:H14"/>
    <mergeCell ref="B2:I2"/>
    <mergeCell ref="B3:I3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4" customWidth="1"/>
    <col min="3" max="3" width="18" customWidth="1"/>
    <col min="4" max="5" width="16" customWidth="1"/>
    <col min="6" max="7" width="12" customWidth="1"/>
    <col min="8" max="8" width="10" customWidth="1"/>
    <col min="9" max="11" width="12" customWidth="1"/>
    <col min="12" max="12" width="14" customWidth="1"/>
    <col min="13" max="13" width="10" customWidth="1"/>
    <col min="14" max="15" width="16" customWidth="1"/>
    <col min="16" max="16" width="18" customWidth="1"/>
    <col min="17" max="17" width="10" customWidth="1"/>
  </cols>
  <sheetData>
    <row r="1" spans="1:17" ht="30" customHeight="1" x14ac:dyDescent="0.35">
      <c r="A1" s="20" t="s">
        <v>35</v>
      </c>
      <c r="B1" s="20" t="s">
        <v>30</v>
      </c>
      <c r="C1" s="20" t="s">
        <v>36</v>
      </c>
      <c r="D1" s="20" t="s">
        <v>37</v>
      </c>
      <c r="E1" s="20" t="s">
        <v>38</v>
      </c>
      <c r="F1" s="20" t="s">
        <v>39</v>
      </c>
      <c r="G1" s="20" t="s">
        <v>40</v>
      </c>
      <c r="H1" s="20" t="s">
        <v>41</v>
      </c>
      <c r="I1" s="20" t="s">
        <v>42</v>
      </c>
      <c r="J1" s="20" t="s">
        <v>32</v>
      </c>
      <c r="K1" s="20" t="s">
        <v>33</v>
      </c>
      <c r="L1" s="20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</row>
    <row r="2" spans="1:17" x14ac:dyDescent="0.35">
      <c r="A2" s="21">
        <v>1</v>
      </c>
      <c r="B2" s="21" t="s">
        <v>49</v>
      </c>
      <c r="C2" s="21" t="s">
        <v>50</v>
      </c>
      <c r="D2" s="22">
        <v>229.21</v>
      </c>
      <c r="E2" s="22">
        <v>264.74</v>
      </c>
      <c r="F2" s="21">
        <v>55</v>
      </c>
      <c r="G2" s="21">
        <v>61</v>
      </c>
      <c r="H2" s="21">
        <v>64</v>
      </c>
      <c r="I2" s="21">
        <v>11</v>
      </c>
      <c r="J2" s="18">
        <f t="shared" ref="J2:J44" si="0">F2+G2-H2-I2</f>
        <v>41</v>
      </c>
      <c r="K2" s="21">
        <v>36</v>
      </c>
      <c r="L2" s="23" t="str">
        <f t="shared" ref="L2:L44" si="1">IF(J2&lt;K2,"Reorder Now","OK")</f>
        <v>OK</v>
      </c>
      <c r="M2" s="24">
        <f t="shared" ref="M2:M44" si="2">IFERROR(I2/(H2+I2),0)</f>
        <v>0.14666666666666667</v>
      </c>
      <c r="N2" s="25">
        <f t="shared" ref="N2:N44" si="3">E2-D2</f>
        <v>35.53</v>
      </c>
      <c r="O2" s="25">
        <f t="shared" ref="O2:O44" si="4">H2*E2</f>
        <v>16943.36</v>
      </c>
      <c r="P2" s="25">
        <f t="shared" ref="P2:P44" si="5">I2*D2</f>
        <v>2521.31</v>
      </c>
      <c r="Q2" s="18">
        <f t="shared" ref="Q2:Q44" si="6">RANK(O2,$O$2:$O$44,0)</f>
        <v>27</v>
      </c>
    </row>
    <row r="3" spans="1:17" x14ac:dyDescent="0.35">
      <c r="A3" s="21">
        <v>2</v>
      </c>
      <c r="B3" s="21" t="s">
        <v>51</v>
      </c>
      <c r="C3" s="21" t="s">
        <v>50</v>
      </c>
      <c r="D3" s="22">
        <v>263.12</v>
      </c>
      <c r="E3" s="22">
        <v>331.29</v>
      </c>
      <c r="F3" s="21">
        <v>95</v>
      </c>
      <c r="G3" s="21">
        <v>84</v>
      </c>
      <c r="H3" s="21">
        <v>100</v>
      </c>
      <c r="I3" s="21">
        <v>14</v>
      </c>
      <c r="J3" s="18">
        <f t="shared" si="0"/>
        <v>65</v>
      </c>
      <c r="K3" s="21">
        <v>21</v>
      </c>
      <c r="L3" s="23" t="str">
        <f t="shared" si="1"/>
        <v>OK</v>
      </c>
      <c r="M3" s="24">
        <f t="shared" si="2"/>
        <v>0.12280701754385964</v>
      </c>
      <c r="N3" s="25">
        <f t="shared" si="3"/>
        <v>68.170000000000016</v>
      </c>
      <c r="O3" s="25">
        <f t="shared" si="4"/>
        <v>33129</v>
      </c>
      <c r="P3" s="25">
        <f t="shared" si="5"/>
        <v>3683.6800000000003</v>
      </c>
      <c r="Q3" s="18">
        <f t="shared" si="6"/>
        <v>13</v>
      </c>
    </row>
    <row r="4" spans="1:17" x14ac:dyDescent="0.35">
      <c r="A4" s="21">
        <v>3</v>
      </c>
      <c r="B4" s="21" t="s">
        <v>52</v>
      </c>
      <c r="C4" s="21" t="s">
        <v>50</v>
      </c>
      <c r="D4" s="22">
        <v>92.94</v>
      </c>
      <c r="E4" s="22">
        <v>118.07</v>
      </c>
      <c r="F4" s="21">
        <v>91</v>
      </c>
      <c r="G4" s="21">
        <v>55</v>
      </c>
      <c r="H4" s="21">
        <v>117</v>
      </c>
      <c r="I4" s="21">
        <v>22</v>
      </c>
      <c r="J4" s="18">
        <f t="shared" si="0"/>
        <v>7</v>
      </c>
      <c r="K4" s="21">
        <v>32</v>
      </c>
      <c r="L4" s="23" t="str">
        <f t="shared" si="1"/>
        <v>Reorder Now</v>
      </c>
      <c r="M4" s="24">
        <f t="shared" si="2"/>
        <v>0.15827338129496402</v>
      </c>
      <c r="N4" s="25">
        <f t="shared" si="3"/>
        <v>25.129999999999995</v>
      </c>
      <c r="O4" s="25">
        <f t="shared" si="4"/>
        <v>13814.189999999999</v>
      </c>
      <c r="P4" s="25">
        <f t="shared" si="5"/>
        <v>2044.6799999999998</v>
      </c>
      <c r="Q4" s="18">
        <f t="shared" si="6"/>
        <v>29</v>
      </c>
    </row>
    <row r="5" spans="1:17" x14ac:dyDescent="0.35">
      <c r="A5" s="21">
        <v>4</v>
      </c>
      <c r="B5" s="21" t="s">
        <v>53</v>
      </c>
      <c r="C5" s="21" t="s">
        <v>50</v>
      </c>
      <c r="D5" s="22">
        <v>155.54</v>
      </c>
      <c r="E5" s="22">
        <v>192.84</v>
      </c>
      <c r="F5" s="21">
        <v>55</v>
      </c>
      <c r="G5" s="21">
        <v>133</v>
      </c>
      <c r="H5" s="21">
        <v>142</v>
      </c>
      <c r="I5" s="21">
        <v>31</v>
      </c>
      <c r="J5" s="18">
        <f t="shared" si="0"/>
        <v>15</v>
      </c>
      <c r="K5" s="21">
        <v>40</v>
      </c>
      <c r="L5" s="23" t="str">
        <f t="shared" si="1"/>
        <v>Reorder Now</v>
      </c>
      <c r="M5" s="24">
        <f t="shared" si="2"/>
        <v>0.1791907514450867</v>
      </c>
      <c r="N5" s="25">
        <f t="shared" si="3"/>
        <v>37.300000000000011</v>
      </c>
      <c r="O5" s="25">
        <f t="shared" si="4"/>
        <v>27383.279999999999</v>
      </c>
      <c r="P5" s="25">
        <f t="shared" si="5"/>
        <v>4821.74</v>
      </c>
      <c r="Q5" s="18">
        <f t="shared" si="6"/>
        <v>18</v>
      </c>
    </row>
    <row r="6" spans="1:17" x14ac:dyDescent="0.35">
      <c r="A6" s="21">
        <v>5</v>
      </c>
      <c r="B6" s="21" t="s">
        <v>54</v>
      </c>
      <c r="C6" s="21" t="s">
        <v>50</v>
      </c>
      <c r="D6" s="22">
        <v>68.489999999999995</v>
      </c>
      <c r="E6" s="22">
        <v>84.55</v>
      </c>
      <c r="F6" s="21">
        <v>55</v>
      </c>
      <c r="G6" s="21">
        <v>49</v>
      </c>
      <c r="H6" s="21">
        <v>73</v>
      </c>
      <c r="I6" s="21">
        <v>10</v>
      </c>
      <c r="J6" s="18">
        <f t="shared" si="0"/>
        <v>21</v>
      </c>
      <c r="K6" s="21">
        <v>18</v>
      </c>
      <c r="L6" s="23" t="str">
        <f t="shared" si="1"/>
        <v>OK</v>
      </c>
      <c r="M6" s="24">
        <f t="shared" si="2"/>
        <v>0.12048192771084337</v>
      </c>
      <c r="N6" s="25">
        <f t="shared" si="3"/>
        <v>16.060000000000002</v>
      </c>
      <c r="O6" s="25">
        <f t="shared" si="4"/>
        <v>6172.15</v>
      </c>
      <c r="P6" s="25">
        <f t="shared" si="5"/>
        <v>684.9</v>
      </c>
      <c r="Q6" s="18">
        <f t="shared" si="6"/>
        <v>38</v>
      </c>
    </row>
    <row r="7" spans="1:17" x14ac:dyDescent="0.35">
      <c r="A7" s="21">
        <v>6</v>
      </c>
      <c r="B7" s="21" t="s">
        <v>55</v>
      </c>
      <c r="C7" s="21" t="s">
        <v>50</v>
      </c>
      <c r="D7" s="22">
        <v>46.07</v>
      </c>
      <c r="E7" s="22">
        <v>53.87</v>
      </c>
      <c r="F7" s="21">
        <v>64</v>
      </c>
      <c r="G7" s="21">
        <v>107</v>
      </c>
      <c r="H7" s="21">
        <v>90</v>
      </c>
      <c r="I7" s="21">
        <v>18</v>
      </c>
      <c r="J7" s="18">
        <f t="shared" si="0"/>
        <v>63</v>
      </c>
      <c r="K7" s="21">
        <v>38</v>
      </c>
      <c r="L7" s="23" t="str">
        <f t="shared" si="1"/>
        <v>OK</v>
      </c>
      <c r="M7" s="24">
        <f t="shared" si="2"/>
        <v>0.16666666666666666</v>
      </c>
      <c r="N7" s="25">
        <f t="shared" si="3"/>
        <v>7.7999999999999972</v>
      </c>
      <c r="O7" s="25">
        <f t="shared" si="4"/>
        <v>4848.3</v>
      </c>
      <c r="P7" s="25">
        <f t="shared" si="5"/>
        <v>829.26</v>
      </c>
      <c r="Q7" s="18">
        <f t="shared" si="6"/>
        <v>39</v>
      </c>
    </row>
    <row r="8" spans="1:17" x14ac:dyDescent="0.35">
      <c r="A8" s="21">
        <v>7</v>
      </c>
      <c r="B8" s="21" t="s">
        <v>56</v>
      </c>
      <c r="C8" s="21" t="s">
        <v>50</v>
      </c>
      <c r="D8" s="22">
        <v>168.91</v>
      </c>
      <c r="E8" s="22">
        <v>198.46</v>
      </c>
      <c r="F8" s="21">
        <v>68</v>
      </c>
      <c r="G8" s="21">
        <v>40</v>
      </c>
      <c r="H8" s="21">
        <v>77</v>
      </c>
      <c r="I8" s="21">
        <v>14</v>
      </c>
      <c r="J8" s="18">
        <f t="shared" si="0"/>
        <v>17</v>
      </c>
      <c r="K8" s="21">
        <v>33</v>
      </c>
      <c r="L8" s="23" t="str">
        <f t="shared" si="1"/>
        <v>Reorder Now</v>
      </c>
      <c r="M8" s="24">
        <f t="shared" si="2"/>
        <v>0.15384615384615385</v>
      </c>
      <c r="N8" s="25">
        <f t="shared" si="3"/>
        <v>29.550000000000011</v>
      </c>
      <c r="O8" s="25">
        <f t="shared" si="4"/>
        <v>15281.42</v>
      </c>
      <c r="P8" s="25">
        <f t="shared" si="5"/>
        <v>2364.7399999999998</v>
      </c>
      <c r="Q8" s="18">
        <f t="shared" si="6"/>
        <v>28</v>
      </c>
    </row>
    <row r="9" spans="1:17" x14ac:dyDescent="0.35">
      <c r="A9" s="21">
        <v>8</v>
      </c>
      <c r="B9" s="21" t="s">
        <v>57</v>
      </c>
      <c r="C9" s="21" t="s">
        <v>58</v>
      </c>
      <c r="D9" s="22">
        <v>79.42</v>
      </c>
      <c r="E9" s="22">
        <v>92.44</v>
      </c>
      <c r="F9" s="21">
        <v>104</v>
      </c>
      <c r="G9" s="21">
        <v>59</v>
      </c>
      <c r="H9" s="21">
        <v>91</v>
      </c>
      <c r="I9" s="21">
        <v>9</v>
      </c>
      <c r="J9" s="18">
        <f t="shared" si="0"/>
        <v>63</v>
      </c>
      <c r="K9" s="21">
        <v>22</v>
      </c>
      <c r="L9" s="23" t="str">
        <f t="shared" si="1"/>
        <v>OK</v>
      </c>
      <c r="M9" s="24">
        <f t="shared" si="2"/>
        <v>0.09</v>
      </c>
      <c r="N9" s="25">
        <f t="shared" si="3"/>
        <v>13.019999999999996</v>
      </c>
      <c r="O9" s="25">
        <f t="shared" si="4"/>
        <v>8412.0399999999991</v>
      </c>
      <c r="P9" s="25">
        <f t="shared" si="5"/>
        <v>714.78</v>
      </c>
      <c r="Q9" s="18">
        <f t="shared" si="6"/>
        <v>36</v>
      </c>
    </row>
    <row r="10" spans="1:17" x14ac:dyDescent="0.35">
      <c r="A10" s="21">
        <v>9</v>
      </c>
      <c r="B10" s="21" t="s">
        <v>59</v>
      </c>
      <c r="C10" s="21" t="s">
        <v>58</v>
      </c>
      <c r="D10" s="22">
        <v>305.27</v>
      </c>
      <c r="E10" s="22">
        <v>374.27</v>
      </c>
      <c r="F10" s="21">
        <v>78</v>
      </c>
      <c r="G10" s="21">
        <v>111</v>
      </c>
      <c r="H10" s="21">
        <v>114</v>
      </c>
      <c r="I10" s="21">
        <v>11</v>
      </c>
      <c r="J10" s="18">
        <f t="shared" si="0"/>
        <v>64</v>
      </c>
      <c r="K10" s="21">
        <v>26</v>
      </c>
      <c r="L10" s="23" t="str">
        <f t="shared" si="1"/>
        <v>OK</v>
      </c>
      <c r="M10" s="24">
        <f t="shared" si="2"/>
        <v>8.7999999999999995E-2</v>
      </c>
      <c r="N10" s="25">
        <f t="shared" si="3"/>
        <v>69</v>
      </c>
      <c r="O10" s="25">
        <f t="shared" si="4"/>
        <v>42666.78</v>
      </c>
      <c r="P10" s="25">
        <f t="shared" si="5"/>
        <v>3357.97</v>
      </c>
      <c r="Q10" s="18">
        <f t="shared" si="6"/>
        <v>8</v>
      </c>
    </row>
    <row r="11" spans="1:17" x14ac:dyDescent="0.35">
      <c r="A11" s="21">
        <v>10</v>
      </c>
      <c r="B11" s="21" t="s">
        <v>60</v>
      </c>
      <c r="C11" s="21" t="s">
        <v>58</v>
      </c>
      <c r="D11" s="22">
        <v>134.02000000000001</v>
      </c>
      <c r="E11" s="22">
        <v>172.09</v>
      </c>
      <c r="F11" s="21">
        <v>109</v>
      </c>
      <c r="G11" s="21">
        <v>149</v>
      </c>
      <c r="H11" s="21">
        <v>138</v>
      </c>
      <c r="I11" s="21">
        <v>13</v>
      </c>
      <c r="J11" s="18">
        <f t="shared" si="0"/>
        <v>107</v>
      </c>
      <c r="K11" s="21">
        <v>34</v>
      </c>
      <c r="L11" s="23" t="str">
        <f t="shared" si="1"/>
        <v>OK</v>
      </c>
      <c r="M11" s="24">
        <f t="shared" si="2"/>
        <v>8.6092715231788075E-2</v>
      </c>
      <c r="N11" s="25">
        <f t="shared" si="3"/>
        <v>38.069999999999993</v>
      </c>
      <c r="O11" s="25">
        <f t="shared" si="4"/>
        <v>23748.420000000002</v>
      </c>
      <c r="P11" s="25">
        <f t="shared" si="5"/>
        <v>1742.2600000000002</v>
      </c>
      <c r="Q11" s="18">
        <f t="shared" si="6"/>
        <v>22</v>
      </c>
    </row>
    <row r="12" spans="1:17" x14ac:dyDescent="0.35">
      <c r="A12" s="21">
        <v>11</v>
      </c>
      <c r="B12" s="21" t="s">
        <v>61</v>
      </c>
      <c r="C12" s="21" t="s">
        <v>58</v>
      </c>
      <c r="D12" s="22">
        <v>227.72</v>
      </c>
      <c r="E12" s="22">
        <v>286.2</v>
      </c>
      <c r="F12" s="21">
        <v>51</v>
      </c>
      <c r="G12" s="21">
        <v>50</v>
      </c>
      <c r="H12" s="21">
        <v>67</v>
      </c>
      <c r="I12" s="21">
        <v>3</v>
      </c>
      <c r="J12" s="18">
        <f t="shared" si="0"/>
        <v>31</v>
      </c>
      <c r="K12" s="21">
        <v>35</v>
      </c>
      <c r="L12" s="23" t="str">
        <f t="shared" si="1"/>
        <v>Reorder Now</v>
      </c>
      <c r="M12" s="24">
        <f t="shared" si="2"/>
        <v>4.2857142857142858E-2</v>
      </c>
      <c r="N12" s="25">
        <f t="shared" si="3"/>
        <v>58.47999999999999</v>
      </c>
      <c r="O12" s="25">
        <f t="shared" si="4"/>
        <v>19175.399999999998</v>
      </c>
      <c r="P12" s="25">
        <f t="shared" si="5"/>
        <v>683.16</v>
      </c>
      <c r="Q12" s="18">
        <f t="shared" si="6"/>
        <v>26</v>
      </c>
    </row>
    <row r="13" spans="1:17" x14ac:dyDescent="0.35">
      <c r="A13" s="21">
        <v>12</v>
      </c>
      <c r="B13" s="21" t="s">
        <v>62</v>
      </c>
      <c r="C13" s="21" t="s">
        <v>58</v>
      </c>
      <c r="D13" s="22">
        <v>245.53</v>
      </c>
      <c r="E13" s="22">
        <v>293.14</v>
      </c>
      <c r="F13" s="21">
        <v>61</v>
      </c>
      <c r="G13" s="21">
        <v>137</v>
      </c>
      <c r="H13" s="21">
        <v>106</v>
      </c>
      <c r="I13" s="21">
        <v>11</v>
      </c>
      <c r="J13" s="18">
        <f t="shared" si="0"/>
        <v>81</v>
      </c>
      <c r="K13" s="21">
        <v>22</v>
      </c>
      <c r="L13" s="23" t="str">
        <f t="shared" si="1"/>
        <v>OK</v>
      </c>
      <c r="M13" s="24">
        <f t="shared" si="2"/>
        <v>9.4017094017094016E-2</v>
      </c>
      <c r="N13" s="25">
        <f t="shared" si="3"/>
        <v>47.609999999999985</v>
      </c>
      <c r="O13" s="25">
        <f t="shared" si="4"/>
        <v>31072.84</v>
      </c>
      <c r="P13" s="25">
        <f t="shared" si="5"/>
        <v>2700.83</v>
      </c>
      <c r="Q13" s="18">
        <f t="shared" si="6"/>
        <v>14</v>
      </c>
    </row>
    <row r="14" spans="1:17" x14ac:dyDescent="0.35">
      <c r="A14" s="21">
        <v>13</v>
      </c>
      <c r="B14" s="21" t="s">
        <v>63</v>
      </c>
      <c r="C14" s="21" t="s">
        <v>58</v>
      </c>
      <c r="D14" s="22">
        <v>290.3</v>
      </c>
      <c r="E14" s="22">
        <v>380.59</v>
      </c>
      <c r="F14" s="21">
        <v>71</v>
      </c>
      <c r="G14" s="21">
        <v>64</v>
      </c>
      <c r="H14" s="21">
        <v>125</v>
      </c>
      <c r="I14" s="21">
        <v>1</v>
      </c>
      <c r="J14" s="18">
        <f t="shared" si="0"/>
        <v>9</v>
      </c>
      <c r="K14" s="21">
        <v>33</v>
      </c>
      <c r="L14" s="23" t="str">
        <f t="shared" si="1"/>
        <v>Reorder Now</v>
      </c>
      <c r="M14" s="24">
        <f t="shared" si="2"/>
        <v>7.9365079365079361E-3</v>
      </c>
      <c r="N14" s="25">
        <f t="shared" si="3"/>
        <v>90.289999999999964</v>
      </c>
      <c r="O14" s="25">
        <f t="shared" si="4"/>
        <v>47573.75</v>
      </c>
      <c r="P14" s="25">
        <f t="shared" si="5"/>
        <v>290.3</v>
      </c>
      <c r="Q14" s="18">
        <f t="shared" si="6"/>
        <v>6</v>
      </c>
    </row>
    <row r="15" spans="1:17" x14ac:dyDescent="0.35">
      <c r="A15" s="21">
        <v>14</v>
      </c>
      <c r="B15" s="21" t="s">
        <v>64</v>
      </c>
      <c r="C15" s="21" t="s">
        <v>58</v>
      </c>
      <c r="D15" s="22">
        <v>308.58</v>
      </c>
      <c r="E15" s="22">
        <v>374.29</v>
      </c>
      <c r="F15" s="21">
        <v>103</v>
      </c>
      <c r="G15" s="21">
        <v>93</v>
      </c>
      <c r="H15" s="21">
        <v>180</v>
      </c>
      <c r="I15" s="21">
        <v>6</v>
      </c>
      <c r="J15" s="18">
        <f t="shared" si="0"/>
        <v>10</v>
      </c>
      <c r="K15" s="21">
        <v>29</v>
      </c>
      <c r="L15" s="23" t="str">
        <f t="shared" si="1"/>
        <v>Reorder Now</v>
      </c>
      <c r="M15" s="24">
        <f t="shared" si="2"/>
        <v>3.2258064516129031E-2</v>
      </c>
      <c r="N15" s="25">
        <f t="shared" si="3"/>
        <v>65.710000000000036</v>
      </c>
      <c r="O15" s="25">
        <f t="shared" si="4"/>
        <v>67372.2</v>
      </c>
      <c r="P15" s="25">
        <f t="shared" si="5"/>
        <v>1851.48</v>
      </c>
      <c r="Q15" s="18">
        <f t="shared" si="6"/>
        <v>1</v>
      </c>
    </row>
    <row r="16" spans="1:17" x14ac:dyDescent="0.35">
      <c r="A16" s="21">
        <v>15</v>
      </c>
      <c r="B16" s="21" t="s">
        <v>65</v>
      </c>
      <c r="C16" s="21" t="s">
        <v>66</v>
      </c>
      <c r="D16" s="22">
        <v>62.86</v>
      </c>
      <c r="E16" s="22">
        <v>74.040000000000006</v>
      </c>
      <c r="F16" s="21">
        <v>115</v>
      </c>
      <c r="G16" s="21">
        <v>101</v>
      </c>
      <c r="H16" s="21">
        <v>182</v>
      </c>
      <c r="I16" s="21">
        <v>9</v>
      </c>
      <c r="J16" s="18">
        <f t="shared" si="0"/>
        <v>25</v>
      </c>
      <c r="K16" s="21">
        <v>28</v>
      </c>
      <c r="L16" s="23" t="str">
        <f t="shared" si="1"/>
        <v>Reorder Now</v>
      </c>
      <c r="M16" s="24">
        <f t="shared" si="2"/>
        <v>4.712041884816754E-2</v>
      </c>
      <c r="N16" s="25">
        <f t="shared" si="3"/>
        <v>11.180000000000007</v>
      </c>
      <c r="O16" s="25">
        <f t="shared" si="4"/>
        <v>13475.28</v>
      </c>
      <c r="P16" s="25">
        <f t="shared" si="5"/>
        <v>565.74</v>
      </c>
      <c r="Q16" s="18">
        <f t="shared" si="6"/>
        <v>31</v>
      </c>
    </row>
    <row r="17" spans="1:17" x14ac:dyDescent="0.35">
      <c r="A17" s="21">
        <v>16</v>
      </c>
      <c r="B17" s="21" t="s">
        <v>67</v>
      </c>
      <c r="C17" s="21" t="s">
        <v>66</v>
      </c>
      <c r="D17" s="22">
        <v>315.77</v>
      </c>
      <c r="E17" s="22">
        <v>388.36</v>
      </c>
      <c r="F17" s="21">
        <v>48</v>
      </c>
      <c r="G17" s="21">
        <v>47</v>
      </c>
      <c r="H17" s="21">
        <v>52</v>
      </c>
      <c r="I17" s="21">
        <v>3</v>
      </c>
      <c r="J17" s="18">
        <f t="shared" si="0"/>
        <v>40</v>
      </c>
      <c r="K17" s="21">
        <v>39</v>
      </c>
      <c r="L17" s="23" t="str">
        <f t="shared" si="1"/>
        <v>OK</v>
      </c>
      <c r="M17" s="24">
        <f t="shared" si="2"/>
        <v>5.4545454545454543E-2</v>
      </c>
      <c r="N17" s="25">
        <f t="shared" si="3"/>
        <v>72.590000000000032</v>
      </c>
      <c r="O17" s="25">
        <f t="shared" si="4"/>
        <v>20194.72</v>
      </c>
      <c r="P17" s="25">
        <f t="shared" si="5"/>
        <v>947.31</v>
      </c>
      <c r="Q17" s="18">
        <f t="shared" si="6"/>
        <v>25</v>
      </c>
    </row>
    <row r="18" spans="1:17" x14ac:dyDescent="0.35">
      <c r="A18" s="21">
        <v>17</v>
      </c>
      <c r="B18" s="21" t="s">
        <v>68</v>
      </c>
      <c r="C18" s="21" t="s">
        <v>66</v>
      </c>
      <c r="D18" s="22">
        <v>30.78</v>
      </c>
      <c r="E18" s="22">
        <v>36.07</v>
      </c>
      <c r="F18" s="21">
        <v>100</v>
      </c>
      <c r="G18" s="21">
        <v>50</v>
      </c>
      <c r="H18" s="21">
        <v>102</v>
      </c>
      <c r="I18" s="21">
        <v>8</v>
      </c>
      <c r="J18" s="18">
        <f t="shared" si="0"/>
        <v>40</v>
      </c>
      <c r="K18" s="21">
        <v>34</v>
      </c>
      <c r="L18" s="23" t="str">
        <f t="shared" si="1"/>
        <v>OK</v>
      </c>
      <c r="M18" s="24">
        <f t="shared" si="2"/>
        <v>7.2727272727272724E-2</v>
      </c>
      <c r="N18" s="25">
        <f t="shared" si="3"/>
        <v>5.2899999999999991</v>
      </c>
      <c r="O18" s="25">
        <f t="shared" si="4"/>
        <v>3679.14</v>
      </c>
      <c r="P18" s="25">
        <f t="shared" si="5"/>
        <v>246.24</v>
      </c>
      <c r="Q18" s="18">
        <f t="shared" si="6"/>
        <v>42</v>
      </c>
    </row>
    <row r="19" spans="1:17" x14ac:dyDescent="0.35">
      <c r="A19" s="21">
        <v>18</v>
      </c>
      <c r="B19" s="21" t="s">
        <v>69</v>
      </c>
      <c r="C19" s="21" t="s">
        <v>66</v>
      </c>
      <c r="D19" s="22">
        <v>36.28</v>
      </c>
      <c r="E19" s="22">
        <v>44.49</v>
      </c>
      <c r="F19" s="21">
        <v>79</v>
      </c>
      <c r="G19" s="21">
        <v>97</v>
      </c>
      <c r="H19" s="21">
        <v>158</v>
      </c>
      <c r="I19" s="21">
        <v>4</v>
      </c>
      <c r="J19" s="18">
        <f t="shared" si="0"/>
        <v>14</v>
      </c>
      <c r="K19" s="21">
        <v>15</v>
      </c>
      <c r="L19" s="23" t="str">
        <f t="shared" si="1"/>
        <v>Reorder Now</v>
      </c>
      <c r="M19" s="24">
        <f t="shared" si="2"/>
        <v>2.4691358024691357E-2</v>
      </c>
      <c r="N19" s="25">
        <f t="shared" si="3"/>
        <v>8.2100000000000009</v>
      </c>
      <c r="O19" s="25">
        <f t="shared" si="4"/>
        <v>7029.42</v>
      </c>
      <c r="P19" s="25">
        <f t="shared" si="5"/>
        <v>145.12</v>
      </c>
      <c r="Q19" s="18">
        <f t="shared" si="6"/>
        <v>37</v>
      </c>
    </row>
    <row r="20" spans="1:17" x14ac:dyDescent="0.35">
      <c r="A20" s="21">
        <v>19</v>
      </c>
      <c r="B20" s="21" t="s">
        <v>70</v>
      </c>
      <c r="C20" s="21" t="s">
        <v>66</v>
      </c>
      <c r="D20" s="22">
        <v>242.89</v>
      </c>
      <c r="E20" s="22">
        <v>284.89</v>
      </c>
      <c r="F20" s="21">
        <v>88</v>
      </c>
      <c r="G20" s="21">
        <v>126</v>
      </c>
      <c r="H20" s="21">
        <v>189</v>
      </c>
      <c r="I20" s="21">
        <v>5</v>
      </c>
      <c r="J20" s="18">
        <f t="shared" si="0"/>
        <v>20</v>
      </c>
      <c r="K20" s="21">
        <v>25</v>
      </c>
      <c r="L20" s="23" t="str">
        <f t="shared" si="1"/>
        <v>Reorder Now</v>
      </c>
      <c r="M20" s="24">
        <f t="shared" si="2"/>
        <v>2.5773195876288658E-2</v>
      </c>
      <c r="N20" s="25">
        <f t="shared" si="3"/>
        <v>42</v>
      </c>
      <c r="O20" s="25">
        <f t="shared" si="4"/>
        <v>53844.21</v>
      </c>
      <c r="P20" s="25">
        <f t="shared" si="5"/>
        <v>1214.4499999999998</v>
      </c>
      <c r="Q20" s="18">
        <f t="shared" si="6"/>
        <v>3</v>
      </c>
    </row>
    <row r="21" spans="1:17" x14ac:dyDescent="0.35">
      <c r="A21" s="21">
        <v>20</v>
      </c>
      <c r="B21" s="21" t="s">
        <v>71</v>
      </c>
      <c r="C21" s="21" t="s">
        <v>66</v>
      </c>
      <c r="D21" s="22">
        <v>52.37</v>
      </c>
      <c r="E21" s="22">
        <v>64.78</v>
      </c>
      <c r="F21" s="21">
        <v>78</v>
      </c>
      <c r="G21" s="21">
        <v>30</v>
      </c>
      <c r="H21" s="21">
        <v>70</v>
      </c>
      <c r="I21" s="21">
        <v>7</v>
      </c>
      <c r="J21" s="18">
        <f t="shared" si="0"/>
        <v>31</v>
      </c>
      <c r="K21" s="21">
        <v>31</v>
      </c>
      <c r="L21" s="23" t="str">
        <f t="shared" si="1"/>
        <v>OK</v>
      </c>
      <c r="M21" s="24">
        <f t="shared" si="2"/>
        <v>9.0909090909090912E-2</v>
      </c>
      <c r="N21" s="25">
        <f t="shared" si="3"/>
        <v>12.410000000000004</v>
      </c>
      <c r="O21" s="25">
        <f t="shared" si="4"/>
        <v>4534.6000000000004</v>
      </c>
      <c r="P21" s="25">
        <f t="shared" si="5"/>
        <v>366.59</v>
      </c>
      <c r="Q21" s="18">
        <f t="shared" si="6"/>
        <v>40</v>
      </c>
    </row>
    <row r="22" spans="1:17" x14ac:dyDescent="0.35">
      <c r="A22" s="21">
        <v>21</v>
      </c>
      <c r="B22" s="21" t="s">
        <v>72</v>
      </c>
      <c r="C22" s="21" t="s">
        <v>66</v>
      </c>
      <c r="D22" s="22">
        <v>270.26</v>
      </c>
      <c r="E22" s="22">
        <v>338.24</v>
      </c>
      <c r="F22" s="21">
        <v>33</v>
      </c>
      <c r="G22" s="21">
        <v>141</v>
      </c>
      <c r="H22" s="21">
        <v>151</v>
      </c>
      <c r="I22" s="21">
        <v>8</v>
      </c>
      <c r="J22" s="18">
        <f t="shared" si="0"/>
        <v>15</v>
      </c>
      <c r="K22" s="21">
        <v>34</v>
      </c>
      <c r="L22" s="23" t="str">
        <f t="shared" si="1"/>
        <v>Reorder Now</v>
      </c>
      <c r="M22" s="24">
        <f t="shared" si="2"/>
        <v>5.0314465408805034E-2</v>
      </c>
      <c r="N22" s="25">
        <f t="shared" si="3"/>
        <v>67.980000000000018</v>
      </c>
      <c r="O22" s="25">
        <f t="shared" si="4"/>
        <v>51074.239999999998</v>
      </c>
      <c r="P22" s="25">
        <f t="shared" si="5"/>
        <v>2162.08</v>
      </c>
      <c r="Q22" s="18">
        <f t="shared" si="6"/>
        <v>4</v>
      </c>
    </row>
    <row r="23" spans="1:17" x14ac:dyDescent="0.35">
      <c r="A23" s="21">
        <v>22</v>
      </c>
      <c r="B23" s="21" t="s">
        <v>73</v>
      </c>
      <c r="C23" s="21" t="s">
        <v>74</v>
      </c>
      <c r="D23" s="22">
        <v>81.64</v>
      </c>
      <c r="E23" s="22">
        <v>99.99</v>
      </c>
      <c r="F23" s="21">
        <v>40</v>
      </c>
      <c r="G23" s="21">
        <v>99</v>
      </c>
      <c r="H23" s="21">
        <v>102</v>
      </c>
      <c r="I23" s="21">
        <v>9</v>
      </c>
      <c r="J23" s="18">
        <f t="shared" si="0"/>
        <v>28</v>
      </c>
      <c r="K23" s="21">
        <v>15</v>
      </c>
      <c r="L23" s="23" t="str">
        <f t="shared" si="1"/>
        <v>OK</v>
      </c>
      <c r="M23" s="24">
        <f t="shared" si="2"/>
        <v>8.1081081081081086E-2</v>
      </c>
      <c r="N23" s="25">
        <f t="shared" si="3"/>
        <v>18.349999999999994</v>
      </c>
      <c r="O23" s="25">
        <f t="shared" si="4"/>
        <v>10198.98</v>
      </c>
      <c r="P23" s="25">
        <f t="shared" si="5"/>
        <v>734.76</v>
      </c>
      <c r="Q23" s="18">
        <f t="shared" si="6"/>
        <v>35</v>
      </c>
    </row>
    <row r="24" spans="1:17" x14ac:dyDescent="0.35">
      <c r="A24" s="21">
        <v>23</v>
      </c>
      <c r="B24" s="21" t="s">
        <v>75</v>
      </c>
      <c r="C24" s="21" t="s">
        <v>74</v>
      </c>
      <c r="D24" s="22">
        <v>215.65</v>
      </c>
      <c r="E24" s="22">
        <v>269.07</v>
      </c>
      <c r="F24" s="21">
        <v>34</v>
      </c>
      <c r="G24" s="21">
        <v>148</v>
      </c>
      <c r="H24" s="21">
        <v>130</v>
      </c>
      <c r="I24" s="21">
        <v>5</v>
      </c>
      <c r="J24" s="18">
        <f t="shared" si="0"/>
        <v>47</v>
      </c>
      <c r="K24" s="21">
        <v>22</v>
      </c>
      <c r="L24" s="23" t="str">
        <f t="shared" si="1"/>
        <v>OK</v>
      </c>
      <c r="M24" s="24">
        <f t="shared" si="2"/>
        <v>3.7037037037037035E-2</v>
      </c>
      <c r="N24" s="25">
        <f t="shared" si="3"/>
        <v>53.419999999999987</v>
      </c>
      <c r="O24" s="25">
        <f t="shared" si="4"/>
        <v>34979.1</v>
      </c>
      <c r="P24" s="25">
        <f t="shared" si="5"/>
        <v>1078.25</v>
      </c>
      <c r="Q24" s="18">
        <f t="shared" si="6"/>
        <v>10</v>
      </c>
    </row>
    <row r="25" spans="1:17" x14ac:dyDescent="0.35">
      <c r="A25" s="21">
        <v>24</v>
      </c>
      <c r="B25" s="21" t="s">
        <v>76</v>
      </c>
      <c r="C25" s="21" t="s">
        <v>74</v>
      </c>
      <c r="D25" s="22">
        <v>34.4</v>
      </c>
      <c r="E25" s="22">
        <v>45.6</v>
      </c>
      <c r="F25" s="21">
        <v>30</v>
      </c>
      <c r="G25" s="21">
        <v>40</v>
      </c>
      <c r="H25" s="21">
        <v>61</v>
      </c>
      <c r="I25" s="21">
        <v>3</v>
      </c>
      <c r="J25" s="18">
        <f t="shared" si="0"/>
        <v>6</v>
      </c>
      <c r="K25" s="21">
        <v>17</v>
      </c>
      <c r="L25" s="23" t="str">
        <f t="shared" si="1"/>
        <v>Reorder Now</v>
      </c>
      <c r="M25" s="24">
        <f t="shared" si="2"/>
        <v>4.6875E-2</v>
      </c>
      <c r="N25" s="25">
        <f t="shared" si="3"/>
        <v>11.200000000000003</v>
      </c>
      <c r="O25" s="25">
        <f t="shared" si="4"/>
        <v>2781.6</v>
      </c>
      <c r="P25" s="25">
        <f t="shared" si="5"/>
        <v>103.19999999999999</v>
      </c>
      <c r="Q25" s="18">
        <f t="shared" si="6"/>
        <v>43</v>
      </c>
    </row>
    <row r="26" spans="1:17" x14ac:dyDescent="0.35">
      <c r="A26" s="21">
        <v>25</v>
      </c>
      <c r="B26" s="21" t="s">
        <v>77</v>
      </c>
      <c r="C26" s="21" t="s">
        <v>74</v>
      </c>
      <c r="D26" s="22">
        <v>342.62</v>
      </c>
      <c r="E26" s="22">
        <v>430.52</v>
      </c>
      <c r="F26" s="21">
        <v>36</v>
      </c>
      <c r="G26" s="21">
        <v>46</v>
      </c>
      <c r="H26" s="21">
        <v>51</v>
      </c>
      <c r="I26" s="21">
        <v>4</v>
      </c>
      <c r="J26" s="18">
        <f t="shared" si="0"/>
        <v>27</v>
      </c>
      <c r="K26" s="21">
        <v>23</v>
      </c>
      <c r="L26" s="23" t="str">
        <f t="shared" si="1"/>
        <v>OK</v>
      </c>
      <c r="M26" s="24">
        <f t="shared" si="2"/>
        <v>7.2727272727272724E-2</v>
      </c>
      <c r="N26" s="25">
        <f t="shared" si="3"/>
        <v>87.899999999999977</v>
      </c>
      <c r="O26" s="25">
        <f t="shared" si="4"/>
        <v>21956.52</v>
      </c>
      <c r="P26" s="25">
        <f t="shared" si="5"/>
        <v>1370.48</v>
      </c>
      <c r="Q26" s="18">
        <f t="shared" si="6"/>
        <v>24</v>
      </c>
    </row>
    <row r="27" spans="1:17" x14ac:dyDescent="0.35">
      <c r="A27" s="21">
        <v>26</v>
      </c>
      <c r="B27" s="21" t="s">
        <v>78</v>
      </c>
      <c r="C27" s="21" t="s">
        <v>74</v>
      </c>
      <c r="D27" s="22">
        <v>191.77</v>
      </c>
      <c r="E27" s="22">
        <v>243.8</v>
      </c>
      <c r="F27" s="21">
        <v>47</v>
      </c>
      <c r="G27" s="21">
        <v>148</v>
      </c>
      <c r="H27" s="21">
        <v>122</v>
      </c>
      <c r="I27" s="21">
        <v>8</v>
      </c>
      <c r="J27" s="18">
        <f t="shared" si="0"/>
        <v>65</v>
      </c>
      <c r="K27" s="21">
        <v>37</v>
      </c>
      <c r="L27" s="23" t="str">
        <f t="shared" si="1"/>
        <v>OK</v>
      </c>
      <c r="M27" s="24">
        <f t="shared" si="2"/>
        <v>6.1538461538461542E-2</v>
      </c>
      <c r="N27" s="25">
        <f t="shared" si="3"/>
        <v>52.03</v>
      </c>
      <c r="O27" s="25">
        <f t="shared" si="4"/>
        <v>29743.600000000002</v>
      </c>
      <c r="P27" s="25">
        <f t="shared" si="5"/>
        <v>1534.16</v>
      </c>
      <c r="Q27" s="18">
        <f t="shared" si="6"/>
        <v>15</v>
      </c>
    </row>
    <row r="28" spans="1:17" x14ac:dyDescent="0.35">
      <c r="A28" s="21">
        <v>27</v>
      </c>
      <c r="B28" s="21" t="s">
        <v>79</v>
      </c>
      <c r="C28" s="21" t="s">
        <v>74</v>
      </c>
      <c r="D28" s="22">
        <v>119.42</v>
      </c>
      <c r="E28" s="22">
        <v>161.1</v>
      </c>
      <c r="F28" s="21">
        <v>103</v>
      </c>
      <c r="G28" s="21">
        <v>77</v>
      </c>
      <c r="H28" s="21">
        <v>156</v>
      </c>
      <c r="I28" s="21">
        <v>6</v>
      </c>
      <c r="J28" s="18">
        <f t="shared" si="0"/>
        <v>18</v>
      </c>
      <c r="K28" s="21">
        <v>29</v>
      </c>
      <c r="L28" s="23" t="str">
        <f t="shared" si="1"/>
        <v>Reorder Now</v>
      </c>
      <c r="M28" s="24">
        <f t="shared" si="2"/>
        <v>3.7037037037037035E-2</v>
      </c>
      <c r="N28" s="25">
        <f t="shared" si="3"/>
        <v>41.679999999999993</v>
      </c>
      <c r="O28" s="25">
        <f t="shared" si="4"/>
        <v>25131.599999999999</v>
      </c>
      <c r="P28" s="25">
        <f t="shared" si="5"/>
        <v>716.52</v>
      </c>
      <c r="Q28" s="18">
        <f t="shared" si="6"/>
        <v>20</v>
      </c>
    </row>
    <row r="29" spans="1:17" x14ac:dyDescent="0.35">
      <c r="A29" s="21">
        <v>28</v>
      </c>
      <c r="B29" s="21" t="s">
        <v>80</v>
      </c>
      <c r="C29" s="21" t="s">
        <v>74</v>
      </c>
      <c r="D29" s="22">
        <v>55.54</v>
      </c>
      <c r="E29" s="22">
        <v>66.37</v>
      </c>
      <c r="F29" s="21">
        <v>63</v>
      </c>
      <c r="G29" s="21">
        <v>32</v>
      </c>
      <c r="H29" s="21">
        <v>61</v>
      </c>
      <c r="I29" s="21">
        <v>4</v>
      </c>
      <c r="J29" s="18">
        <f t="shared" si="0"/>
        <v>30</v>
      </c>
      <c r="K29" s="21">
        <v>33</v>
      </c>
      <c r="L29" s="23" t="str">
        <f t="shared" si="1"/>
        <v>Reorder Now</v>
      </c>
      <c r="M29" s="24">
        <f t="shared" si="2"/>
        <v>6.1538461538461542E-2</v>
      </c>
      <c r="N29" s="25">
        <f t="shared" si="3"/>
        <v>10.830000000000005</v>
      </c>
      <c r="O29" s="25">
        <f t="shared" si="4"/>
        <v>4048.57</v>
      </c>
      <c r="P29" s="25">
        <f t="shared" si="5"/>
        <v>222.16</v>
      </c>
      <c r="Q29" s="18">
        <f t="shared" si="6"/>
        <v>41</v>
      </c>
    </row>
    <row r="30" spans="1:17" x14ac:dyDescent="0.35">
      <c r="A30" s="21">
        <v>29</v>
      </c>
      <c r="B30" s="21" t="s">
        <v>81</v>
      </c>
      <c r="C30" s="21" t="s">
        <v>74</v>
      </c>
      <c r="D30" s="22">
        <v>88.77</v>
      </c>
      <c r="E30" s="22">
        <v>103.35</v>
      </c>
      <c r="F30" s="21">
        <v>100</v>
      </c>
      <c r="G30" s="21">
        <v>37</v>
      </c>
      <c r="H30" s="21">
        <v>125</v>
      </c>
      <c r="I30" s="21">
        <v>3</v>
      </c>
      <c r="J30" s="18">
        <f t="shared" si="0"/>
        <v>9</v>
      </c>
      <c r="K30" s="21">
        <v>16</v>
      </c>
      <c r="L30" s="23" t="str">
        <f t="shared" si="1"/>
        <v>Reorder Now</v>
      </c>
      <c r="M30" s="24">
        <f t="shared" si="2"/>
        <v>2.34375E-2</v>
      </c>
      <c r="N30" s="25">
        <f t="shared" si="3"/>
        <v>14.579999999999998</v>
      </c>
      <c r="O30" s="25">
        <f t="shared" si="4"/>
        <v>12918.75</v>
      </c>
      <c r="P30" s="25">
        <f t="shared" si="5"/>
        <v>266.31</v>
      </c>
      <c r="Q30" s="18">
        <f t="shared" si="6"/>
        <v>32</v>
      </c>
    </row>
    <row r="31" spans="1:17" x14ac:dyDescent="0.35">
      <c r="A31" s="21">
        <v>30</v>
      </c>
      <c r="B31" s="21" t="s">
        <v>82</v>
      </c>
      <c r="C31" s="21" t="s">
        <v>83</v>
      </c>
      <c r="D31" s="22">
        <v>302.98</v>
      </c>
      <c r="E31" s="22">
        <v>352.72</v>
      </c>
      <c r="F31" s="21">
        <v>50</v>
      </c>
      <c r="G31" s="21">
        <v>65</v>
      </c>
      <c r="H31" s="21">
        <v>70</v>
      </c>
      <c r="I31" s="21">
        <v>5</v>
      </c>
      <c r="J31" s="18">
        <f t="shared" si="0"/>
        <v>40</v>
      </c>
      <c r="K31" s="21">
        <v>32</v>
      </c>
      <c r="L31" s="23" t="str">
        <f t="shared" si="1"/>
        <v>OK</v>
      </c>
      <c r="M31" s="24">
        <f t="shared" si="2"/>
        <v>6.6666666666666666E-2</v>
      </c>
      <c r="N31" s="25">
        <f t="shared" si="3"/>
        <v>49.740000000000009</v>
      </c>
      <c r="O31" s="25">
        <f t="shared" si="4"/>
        <v>24690.400000000001</v>
      </c>
      <c r="P31" s="25">
        <f t="shared" si="5"/>
        <v>1514.9</v>
      </c>
      <c r="Q31" s="18">
        <f t="shared" si="6"/>
        <v>21</v>
      </c>
    </row>
    <row r="32" spans="1:17" x14ac:dyDescent="0.35">
      <c r="A32" s="21">
        <v>31</v>
      </c>
      <c r="B32" s="21" t="s">
        <v>84</v>
      </c>
      <c r="C32" s="21" t="s">
        <v>83</v>
      </c>
      <c r="D32" s="22">
        <v>59.32</v>
      </c>
      <c r="E32" s="22">
        <v>79.319999999999993</v>
      </c>
      <c r="F32" s="21">
        <v>93</v>
      </c>
      <c r="G32" s="21">
        <v>103</v>
      </c>
      <c r="H32" s="21">
        <v>158</v>
      </c>
      <c r="I32" s="21">
        <v>7</v>
      </c>
      <c r="J32" s="18">
        <f t="shared" si="0"/>
        <v>31</v>
      </c>
      <c r="K32" s="21">
        <v>40</v>
      </c>
      <c r="L32" s="23" t="str">
        <f t="shared" si="1"/>
        <v>Reorder Now</v>
      </c>
      <c r="M32" s="24">
        <f t="shared" si="2"/>
        <v>4.2424242424242427E-2</v>
      </c>
      <c r="N32" s="25">
        <f t="shared" si="3"/>
        <v>19.999999999999993</v>
      </c>
      <c r="O32" s="25">
        <f t="shared" si="4"/>
        <v>12532.56</v>
      </c>
      <c r="P32" s="25">
        <f t="shared" si="5"/>
        <v>415.24</v>
      </c>
      <c r="Q32" s="18">
        <f t="shared" si="6"/>
        <v>34</v>
      </c>
    </row>
    <row r="33" spans="1:17" x14ac:dyDescent="0.35">
      <c r="A33" s="21">
        <v>32</v>
      </c>
      <c r="B33" s="21" t="s">
        <v>85</v>
      </c>
      <c r="C33" s="21" t="s">
        <v>83</v>
      </c>
      <c r="D33" s="22">
        <v>151.37</v>
      </c>
      <c r="E33" s="22">
        <v>176.93</v>
      </c>
      <c r="F33" s="21">
        <v>104</v>
      </c>
      <c r="G33" s="21">
        <v>85</v>
      </c>
      <c r="H33" s="21">
        <v>146</v>
      </c>
      <c r="I33" s="21">
        <v>5</v>
      </c>
      <c r="J33" s="18">
        <f t="shared" si="0"/>
        <v>38</v>
      </c>
      <c r="K33" s="21">
        <v>29</v>
      </c>
      <c r="L33" s="23" t="str">
        <f t="shared" si="1"/>
        <v>OK</v>
      </c>
      <c r="M33" s="24">
        <f t="shared" si="2"/>
        <v>3.3112582781456956E-2</v>
      </c>
      <c r="N33" s="25">
        <f t="shared" si="3"/>
        <v>25.560000000000002</v>
      </c>
      <c r="O33" s="25">
        <f t="shared" si="4"/>
        <v>25831.780000000002</v>
      </c>
      <c r="P33" s="25">
        <f t="shared" si="5"/>
        <v>756.85</v>
      </c>
      <c r="Q33" s="18">
        <f t="shared" si="6"/>
        <v>19</v>
      </c>
    </row>
    <row r="34" spans="1:17" x14ac:dyDescent="0.35">
      <c r="A34" s="21">
        <v>33</v>
      </c>
      <c r="B34" s="21" t="s">
        <v>86</v>
      </c>
      <c r="C34" s="21" t="s">
        <v>83</v>
      </c>
      <c r="D34" s="22">
        <v>304.39</v>
      </c>
      <c r="E34" s="22">
        <v>353.35</v>
      </c>
      <c r="F34" s="21">
        <v>103</v>
      </c>
      <c r="G34" s="21">
        <v>112</v>
      </c>
      <c r="H34" s="21">
        <v>158</v>
      </c>
      <c r="I34" s="21">
        <v>3</v>
      </c>
      <c r="J34" s="18">
        <f t="shared" si="0"/>
        <v>54</v>
      </c>
      <c r="K34" s="21">
        <v>38</v>
      </c>
      <c r="L34" s="23" t="str">
        <f t="shared" si="1"/>
        <v>OK</v>
      </c>
      <c r="M34" s="24">
        <f t="shared" si="2"/>
        <v>1.8633540372670808E-2</v>
      </c>
      <c r="N34" s="25">
        <f t="shared" si="3"/>
        <v>48.960000000000036</v>
      </c>
      <c r="O34" s="25">
        <f t="shared" si="4"/>
        <v>55829.3</v>
      </c>
      <c r="P34" s="25">
        <f t="shared" si="5"/>
        <v>913.17</v>
      </c>
      <c r="Q34" s="18">
        <f t="shared" si="6"/>
        <v>2</v>
      </c>
    </row>
    <row r="35" spans="1:17" x14ac:dyDescent="0.35">
      <c r="A35" s="21">
        <v>34</v>
      </c>
      <c r="B35" s="21" t="s">
        <v>87</v>
      </c>
      <c r="C35" s="21" t="s">
        <v>83</v>
      </c>
      <c r="D35" s="22">
        <v>128.66999999999999</v>
      </c>
      <c r="E35" s="22">
        <v>170.14</v>
      </c>
      <c r="F35" s="21">
        <v>51</v>
      </c>
      <c r="G35" s="21">
        <v>54</v>
      </c>
      <c r="H35" s="21">
        <v>80</v>
      </c>
      <c r="I35" s="21">
        <v>2</v>
      </c>
      <c r="J35" s="18">
        <f t="shared" si="0"/>
        <v>23</v>
      </c>
      <c r="K35" s="21">
        <v>19</v>
      </c>
      <c r="L35" s="23" t="str">
        <f t="shared" si="1"/>
        <v>OK</v>
      </c>
      <c r="M35" s="24">
        <f t="shared" si="2"/>
        <v>2.4390243902439025E-2</v>
      </c>
      <c r="N35" s="25">
        <f t="shared" si="3"/>
        <v>41.47</v>
      </c>
      <c r="O35" s="25">
        <f t="shared" si="4"/>
        <v>13611.199999999999</v>
      </c>
      <c r="P35" s="25">
        <f t="shared" si="5"/>
        <v>257.33999999999997</v>
      </c>
      <c r="Q35" s="18">
        <f t="shared" si="6"/>
        <v>30</v>
      </c>
    </row>
    <row r="36" spans="1:17" x14ac:dyDescent="0.35">
      <c r="A36" s="21">
        <v>35</v>
      </c>
      <c r="B36" s="21" t="s">
        <v>88</v>
      </c>
      <c r="C36" s="21" t="s">
        <v>83</v>
      </c>
      <c r="D36" s="22">
        <v>156.33000000000001</v>
      </c>
      <c r="E36" s="22">
        <v>188.49</v>
      </c>
      <c r="F36" s="21">
        <v>51</v>
      </c>
      <c r="G36" s="21">
        <v>141</v>
      </c>
      <c r="H36" s="21">
        <v>152</v>
      </c>
      <c r="I36" s="21">
        <v>12</v>
      </c>
      <c r="J36" s="18">
        <f t="shared" si="0"/>
        <v>28</v>
      </c>
      <c r="K36" s="21">
        <v>40</v>
      </c>
      <c r="L36" s="23" t="str">
        <f t="shared" si="1"/>
        <v>Reorder Now</v>
      </c>
      <c r="M36" s="24">
        <f t="shared" si="2"/>
        <v>7.3170731707317069E-2</v>
      </c>
      <c r="N36" s="25">
        <f t="shared" si="3"/>
        <v>32.159999999999997</v>
      </c>
      <c r="O36" s="25">
        <f t="shared" si="4"/>
        <v>28650.480000000003</v>
      </c>
      <c r="P36" s="25">
        <f t="shared" si="5"/>
        <v>1875.96</v>
      </c>
      <c r="Q36" s="18">
        <f t="shared" si="6"/>
        <v>17</v>
      </c>
    </row>
    <row r="37" spans="1:17" x14ac:dyDescent="0.35">
      <c r="A37" s="21">
        <v>36</v>
      </c>
      <c r="B37" s="21" t="s">
        <v>89</v>
      </c>
      <c r="C37" s="21" t="s">
        <v>83</v>
      </c>
      <c r="D37" s="22">
        <v>303.55</v>
      </c>
      <c r="E37" s="22">
        <v>382.49</v>
      </c>
      <c r="F37" s="21">
        <v>26</v>
      </c>
      <c r="G37" s="21">
        <v>113</v>
      </c>
      <c r="H37" s="21">
        <v>122</v>
      </c>
      <c r="I37" s="21">
        <v>9</v>
      </c>
      <c r="J37" s="18">
        <f t="shared" si="0"/>
        <v>8</v>
      </c>
      <c r="K37" s="21">
        <v>15</v>
      </c>
      <c r="L37" s="23" t="str">
        <f t="shared" si="1"/>
        <v>Reorder Now</v>
      </c>
      <c r="M37" s="24">
        <f t="shared" si="2"/>
        <v>6.8702290076335881E-2</v>
      </c>
      <c r="N37" s="25">
        <f t="shared" si="3"/>
        <v>78.94</v>
      </c>
      <c r="O37" s="25">
        <f t="shared" si="4"/>
        <v>46663.78</v>
      </c>
      <c r="P37" s="25">
        <f t="shared" si="5"/>
        <v>2731.9500000000003</v>
      </c>
      <c r="Q37" s="18">
        <f t="shared" si="6"/>
        <v>7</v>
      </c>
    </row>
    <row r="38" spans="1:17" x14ac:dyDescent="0.35">
      <c r="A38" s="21">
        <v>37</v>
      </c>
      <c r="B38" s="21" t="s">
        <v>90</v>
      </c>
      <c r="C38" s="21" t="s">
        <v>91</v>
      </c>
      <c r="D38" s="22">
        <v>339.61</v>
      </c>
      <c r="E38" s="22">
        <v>453.47</v>
      </c>
      <c r="F38" s="21">
        <v>50</v>
      </c>
      <c r="G38" s="21">
        <v>51</v>
      </c>
      <c r="H38" s="21">
        <v>80</v>
      </c>
      <c r="I38" s="21">
        <v>3</v>
      </c>
      <c r="J38" s="18">
        <f t="shared" si="0"/>
        <v>18</v>
      </c>
      <c r="K38" s="21">
        <v>21</v>
      </c>
      <c r="L38" s="23" t="str">
        <f t="shared" si="1"/>
        <v>Reorder Now</v>
      </c>
      <c r="M38" s="24">
        <f t="shared" si="2"/>
        <v>3.614457831325301E-2</v>
      </c>
      <c r="N38" s="25">
        <f t="shared" si="3"/>
        <v>113.86000000000001</v>
      </c>
      <c r="O38" s="25">
        <f t="shared" si="4"/>
        <v>36277.600000000006</v>
      </c>
      <c r="P38" s="25">
        <f t="shared" si="5"/>
        <v>1018.83</v>
      </c>
      <c r="Q38" s="18">
        <f t="shared" si="6"/>
        <v>9</v>
      </c>
    </row>
    <row r="39" spans="1:17" x14ac:dyDescent="0.35">
      <c r="A39" s="21">
        <v>38</v>
      </c>
      <c r="B39" s="21" t="s">
        <v>92</v>
      </c>
      <c r="C39" s="21" t="s">
        <v>91</v>
      </c>
      <c r="D39" s="22">
        <v>304.66000000000003</v>
      </c>
      <c r="E39" s="22">
        <v>405.35</v>
      </c>
      <c r="F39" s="21">
        <v>41</v>
      </c>
      <c r="G39" s="21">
        <v>78</v>
      </c>
      <c r="H39" s="21">
        <v>83</v>
      </c>
      <c r="I39" s="21">
        <v>1</v>
      </c>
      <c r="J39" s="18">
        <f t="shared" si="0"/>
        <v>35</v>
      </c>
      <c r="K39" s="21">
        <v>23</v>
      </c>
      <c r="L39" s="23" t="str">
        <f t="shared" si="1"/>
        <v>OK</v>
      </c>
      <c r="M39" s="24">
        <f t="shared" si="2"/>
        <v>1.1904761904761904E-2</v>
      </c>
      <c r="N39" s="25">
        <f t="shared" si="3"/>
        <v>100.69</v>
      </c>
      <c r="O39" s="25">
        <f t="shared" si="4"/>
        <v>33644.050000000003</v>
      </c>
      <c r="P39" s="25">
        <f t="shared" si="5"/>
        <v>304.66000000000003</v>
      </c>
      <c r="Q39" s="18">
        <f t="shared" si="6"/>
        <v>11</v>
      </c>
    </row>
    <row r="40" spans="1:17" x14ac:dyDescent="0.35">
      <c r="A40" s="21">
        <v>39</v>
      </c>
      <c r="B40" s="21" t="s">
        <v>93</v>
      </c>
      <c r="C40" s="21" t="s">
        <v>91</v>
      </c>
      <c r="D40" s="22">
        <v>325.38</v>
      </c>
      <c r="E40" s="22">
        <v>425.28</v>
      </c>
      <c r="F40" s="21">
        <v>56</v>
      </c>
      <c r="G40" s="21">
        <v>84</v>
      </c>
      <c r="H40" s="21">
        <v>116</v>
      </c>
      <c r="I40" s="21">
        <v>7</v>
      </c>
      <c r="J40" s="18">
        <f t="shared" si="0"/>
        <v>17</v>
      </c>
      <c r="K40" s="21">
        <v>40</v>
      </c>
      <c r="L40" s="23" t="str">
        <f t="shared" si="1"/>
        <v>Reorder Now</v>
      </c>
      <c r="M40" s="24">
        <f t="shared" si="2"/>
        <v>5.6910569105691054E-2</v>
      </c>
      <c r="N40" s="25">
        <f t="shared" si="3"/>
        <v>99.899999999999977</v>
      </c>
      <c r="O40" s="25">
        <f t="shared" si="4"/>
        <v>49332.479999999996</v>
      </c>
      <c r="P40" s="25">
        <f t="shared" si="5"/>
        <v>2277.66</v>
      </c>
      <c r="Q40" s="18">
        <f t="shared" si="6"/>
        <v>5</v>
      </c>
    </row>
    <row r="41" spans="1:17" x14ac:dyDescent="0.35">
      <c r="A41" s="21">
        <v>40</v>
      </c>
      <c r="B41" s="21" t="s">
        <v>94</v>
      </c>
      <c r="C41" s="21" t="s">
        <v>91</v>
      </c>
      <c r="D41" s="22">
        <v>201.18</v>
      </c>
      <c r="E41" s="22">
        <v>260.26</v>
      </c>
      <c r="F41" s="21">
        <v>39</v>
      </c>
      <c r="G41" s="21">
        <v>54</v>
      </c>
      <c r="H41" s="21">
        <v>49</v>
      </c>
      <c r="I41" s="21">
        <v>2</v>
      </c>
      <c r="J41" s="18">
        <f t="shared" si="0"/>
        <v>42</v>
      </c>
      <c r="K41" s="21">
        <v>33</v>
      </c>
      <c r="L41" s="23" t="str">
        <f t="shared" si="1"/>
        <v>OK</v>
      </c>
      <c r="M41" s="24">
        <f t="shared" si="2"/>
        <v>3.9215686274509803E-2</v>
      </c>
      <c r="N41" s="25">
        <f t="shared" si="3"/>
        <v>59.079999999999984</v>
      </c>
      <c r="O41" s="25">
        <f t="shared" si="4"/>
        <v>12752.74</v>
      </c>
      <c r="P41" s="25">
        <f t="shared" si="5"/>
        <v>402.36</v>
      </c>
      <c r="Q41" s="18">
        <f t="shared" si="6"/>
        <v>33</v>
      </c>
    </row>
    <row r="42" spans="1:17" x14ac:dyDescent="0.35">
      <c r="A42" s="21">
        <v>41</v>
      </c>
      <c r="B42" s="21" t="s">
        <v>95</v>
      </c>
      <c r="C42" s="21" t="s">
        <v>91</v>
      </c>
      <c r="D42" s="22">
        <v>261.47000000000003</v>
      </c>
      <c r="E42" s="22">
        <v>303.88</v>
      </c>
      <c r="F42" s="21">
        <v>60</v>
      </c>
      <c r="G42" s="21">
        <v>37</v>
      </c>
      <c r="H42" s="21">
        <v>78</v>
      </c>
      <c r="I42" s="21">
        <v>1</v>
      </c>
      <c r="J42" s="18">
        <f t="shared" si="0"/>
        <v>18</v>
      </c>
      <c r="K42" s="21">
        <v>31</v>
      </c>
      <c r="L42" s="23" t="str">
        <f t="shared" si="1"/>
        <v>Reorder Now</v>
      </c>
      <c r="M42" s="24">
        <f t="shared" si="2"/>
        <v>1.2658227848101266E-2</v>
      </c>
      <c r="N42" s="25">
        <f t="shared" si="3"/>
        <v>42.409999999999968</v>
      </c>
      <c r="O42" s="25">
        <f t="shared" si="4"/>
        <v>23702.639999999999</v>
      </c>
      <c r="P42" s="25">
        <f t="shared" si="5"/>
        <v>261.47000000000003</v>
      </c>
      <c r="Q42" s="18">
        <f t="shared" si="6"/>
        <v>23</v>
      </c>
    </row>
    <row r="43" spans="1:17" x14ac:dyDescent="0.35">
      <c r="A43" s="21">
        <v>42</v>
      </c>
      <c r="B43" s="21" t="s">
        <v>96</v>
      </c>
      <c r="C43" s="21" t="s">
        <v>91</v>
      </c>
      <c r="D43" s="22">
        <v>322.99</v>
      </c>
      <c r="E43" s="22">
        <v>405.75</v>
      </c>
      <c r="F43" s="21">
        <v>27</v>
      </c>
      <c r="G43" s="21">
        <v>95</v>
      </c>
      <c r="H43" s="21">
        <v>72</v>
      </c>
      <c r="I43" s="21">
        <v>1</v>
      </c>
      <c r="J43" s="18">
        <f t="shared" si="0"/>
        <v>49</v>
      </c>
      <c r="K43" s="21">
        <v>17</v>
      </c>
      <c r="L43" s="23" t="str">
        <f t="shared" si="1"/>
        <v>OK</v>
      </c>
      <c r="M43" s="24">
        <f t="shared" si="2"/>
        <v>1.3698630136986301E-2</v>
      </c>
      <c r="N43" s="25">
        <f t="shared" si="3"/>
        <v>82.759999999999991</v>
      </c>
      <c r="O43" s="25">
        <f t="shared" si="4"/>
        <v>29214</v>
      </c>
      <c r="P43" s="25">
        <f t="shared" si="5"/>
        <v>322.99</v>
      </c>
      <c r="Q43" s="18">
        <f t="shared" si="6"/>
        <v>16</v>
      </c>
    </row>
    <row r="44" spans="1:17" x14ac:dyDescent="0.35">
      <c r="A44" s="21">
        <v>43</v>
      </c>
      <c r="B44" s="21" t="s">
        <v>97</v>
      </c>
      <c r="C44" s="21" t="s">
        <v>91</v>
      </c>
      <c r="D44" s="22">
        <v>214.34</v>
      </c>
      <c r="E44" s="22">
        <v>275.44</v>
      </c>
      <c r="F44" s="21">
        <v>50</v>
      </c>
      <c r="G44" s="21">
        <v>81</v>
      </c>
      <c r="H44" s="21">
        <v>121</v>
      </c>
      <c r="I44" s="21">
        <v>2</v>
      </c>
      <c r="J44" s="18">
        <f t="shared" si="0"/>
        <v>8</v>
      </c>
      <c r="K44" s="21">
        <v>33</v>
      </c>
      <c r="L44" s="23" t="str">
        <f t="shared" si="1"/>
        <v>Reorder Now</v>
      </c>
      <c r="M44" s="24">
        <f t="shared" si="2"/>
        <v>1.6260162601626018E-2</v>
      </c>
      <c r="N44" s="25">
        <f t="shared" si="3"/>
        <v>61.099999999999994</v>
      </c>
      <c r="O44" s="25">
        <f t="shared" si="4"/>
        <v>33328.239999999998</v>
      </c>
      <c r="P44" s="25">
        <f t="shared" si="5"/>
        <v>428.68</v>
      </c>
      <c r="Q44" s="18">
        <f t="shared" si="6"/>
        <v>12</v>
      </c>
    </row>
  </sheetData>
  <conditionalFormatting sqref="L2:L44">
    <cfRule type="cellIs" dxfId="1" priority="2" operator="equal">
      <formula>"Reorder Now"</formula>
    </cfRule>
    <cfRule type="cellIs" dxfId="0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/>
  </sheetViews>
  <sheetFormatPr defaultColWidth="8.6328125" defaultRowHeight="14.5" x14ac:dyDescent="0.35"/>
  <cols>
    <col min="1" max="1" width="20" customWidth="1"/>
    <col min="2" max="2" width="14" customWidth="1"/>
    <col min="3" max="3" width="16" customWidth="1"/>
    <col min="4" max="5" width="20" customWidth="1"/>
    <col min="6" max="6" width="12" customWidth="1"/>
  </cols>
  <sheetData>
    <row r="1" spans="1:6" ht="27.75" customHeight="1" x14ac:dyDescent="0.35">
      <c r="A1" s="20" t="s">
        <v>36</v>
      </c>
      <c r="B1" s="20" t="s">
        <v>98</v>
      </c>
      <c r="C1" s="20" t="s">
        <v>99</v>
      </c>
      <c r="D1" s="20" t="s">
        <v>46</v>
      </c>
      <c r="E1" s="20" t="s">
        <v>47</v>
      </c>
      <c r="F1" s="20" t="s">
        <v>44</v>
      </c>
    </row>
    <row r="2" spans="1:6" x14ac:dyDescent="0.35">
      <c r="A2" s="21" t="s">
        <v>50</v>
      </c>
      <c r="B2" s="18">
        <f>SUMIFS(Raw_Data!$H$2:$H$44,Raw_Data!$C$2:$C$44,A2)</f>
        <v>663</v>
      </c>
      <c r="C2" s="18">
        <f>SUMIFS(Raw_Data!$I$2:$I$44,Raw_Data!$C$2:$C$44,A2)</f>
        <v>120</v>
      </c>
      <c r="D2" s="19">
        <f>SUMIFS(Raw_Data!$O$2:$O$44,Raw_Data!$C$2:$C$44,A2)</f>
        <v>117571.7</v>
      </c>
      <c r="E2" s="19">
        <f>SUMIFS(Raw_Data!$P$2:$P$44,Raw_Data!$C$2:$C$44,A2)</f>
        <v>16950.309999999998</v>
      </c>
      <c r="F2" s="24">
        <f t="shared" ref="F2:F8" si="0">IFERROR(C2/(B2+C2),0)</f>
        <v>0.1532567049808429</v>
      </c>
    </row>
    <row r="3" spans="1:6" x14ac:dyDescent="0.35">
      <c r="A3" s="21" t="s">
        <v>58</v>
      </c>
      <c r="B3" s="18">
        <f>SUMIFS(Raw_Data!$H$2:$H$44,Raw_Data!$C$2:$C$44,A3)</f>
        <v>821</v>
      </c>
      <c r="C3" s="18">
        <f>SUMIFS(Raw_Data!$I$2:$I$44,Raw_Data!$C$2:$C$44,A3)</f>
        <v>54</v>
      </c>
      <c r="D3" s="19">
        <f>SUMIFS(Raw_Data!$O$2:$O$44,Raw_Data!$C$2:$C$44,A3)</f>
        <v>240021.43</v>
      </c>
      <c r="E3" s="19">
        <f>SUMIFS(Raw_Data!$P$2:$P$44,Raw_Data!$C$2:$C$44,A3)</f>
        <v>11340.779999999999</v>
      </c>
      <c r="F3" s="24">
        <f t="shared" si="0"/>
        <v>6.1714285714285715E-2</v>
      </c>
    </row>
    <row r="4" spans="1:6" x14ac:dyDescent="0.35">
      <c r="A4" s="21" t="s">
        <v>66</v>
      </c>
      <c r="B4" s="18">
        <f>SUMIFS(Raw_Data!$H$2:$H$44,Raw_Data!$C$2:$C$44,A4)</f>
        <v>904</v>
      </c>
      <c r="C4" s="18">
        <f>SUMIFS(Raw_Data!$I$2:$I$44,Raw_Data!$C$2:$C$44,A4)</f>
        <v>44</v>
      </c>
      <c r="D4" s="19">
        <f>SUMIFS(Raw_Data!$O$2:$O$44,Raw_Data!$C$2:$C$44,A4)</f>
        <v>153831.60999999999</v>
      </c>
      <c r="E4" s="19">
        <f>SUMIFS(Raw_Data!$P$2:$P$44,Raw_Data!$C$2:$C$44,A4)</f>
        <v>5647.53</v>
      </c>
      <c r="F4" s="24">
        <f t="shared" si="0"/>
        <v>4.6413502109704644E-2</v>
      </c>
    </row>
    <row r="5" spans="1:6" x14ac:dyDescent="0.35">
      <c r="A5" s="21" t="s">
        <v>74</v>
      </c>
      <c r="B5" s="18">
        <f>SUMIFS(Raw_Data!$H$2:$H$44,Raw_Data!$C$2:$C$44,A5)</f>
        <v>808</v>
      </c>
      <c r="C5" s="18">
        <f>SUMIFS(Raw_Data!$I$2:$I$44,Raw_Data!$C$2:$C$44,A5)</f>
        <v>42</v>
      </c>
      <c r="D5" s="19">
        <f>SUMIFS(Raw_Data!$O$2:$O$44,Raw_Data!$C$2:$C$44,A5)</f>
        <v>141758.72</v>
      </c>
      <c r="E5" s="19">
        <f>SUMIFS(Raw_Data!$P$2:$P$44,Raw_Data!$C$2:$C$44,A5)</f>
        <v>6025.8400000000011</v>
      </c>
      <c r="F5" s="24">
        <f t="shared" si="0"/>
        <v>4.9411764705882349E-2</v>
      </c>
    </row>
    <row r="6" spans="1:6" x14ac:dyDescent="0.35">
      <c r="A6" s="21" t="s">
        <v>83</v>
      </c>
      <c r="B6" s="18">
        <f>SUMIFS(Raw_Data!$H$2:$H$44,Raw_Data!$C$2:$C$44,A6)</f>
        <v>886</v>
      </c>
      <c r="C6" s="18">
        <f>SUMIFS(Raw_Data!$I$2:$I$44,Raw_Data!$C$2:$C$44,A6)</f>
        <v>43</v>
      </c>
      <c r="D6" s="19">
        <f>SUMIFS(Raw_Data!$O$2:$O$44,Raw_Data!$C$2:$C$44,A6)</f>
        <v>207809.50000000003</v>
      </c>
      <c r="E6" s="19">
        <f>SUMIFS(Raw_Data!$P$2:$P$44,Raw_Data!$C$2:$C$44,A6)</f>
        <v>8465.4100000000017</v>
      </c>
      <c r="F6" s="24">
        <f t="shared" si="0"/>
        <v>4.6286329386437029E-2</v>
      </c>
    </row>
    <row r="7" spans="1:6" x14ac:dyDescent="0.35">
      <c r="A7" s="21" t="s">
        <v>91</v>
      </c>
      <c r="B7" s="18">
        <f>SUMIFS(Raw_Data!$H$2:$H$44,Raw_Data!$C$2:$C$44,A7)</f>
        <v>599</v>
      </c>
      <c r="C7" s="18">
        <f>SUMIFS(Raw_Data!$I$2:$I$44,Raw_Data!$C$2:$C$44,A7)</f>
        <v>17</v>
      </c>
      <c r="D7" s="19">
        <f>SUMIFS(Raw_Data!$O$2:$O$44,Raw_Data!$C$2:$C$44,A7)</f>
        <v>218251.75</v>
      </c>
      <c r="E7" s="19">
        <f>SUMIFS(Raw_Data!$P$2:$P$44,Raw_Data!$C$2:$C$44,A7)</f>
        <v>5016.6499999999996</v>
      </c>
      <c r="F7" s="24">
        <f t="shared" si="0"/>
        <v>2.7597402597402596E-2</v>
      </c>
    </row>
    <row r="8" spans="1:6" x14ac:dyDescent="0.35">
      <c r="A8" s="26" t="s">
        <v>100</v>
      </c>
      <c r="B8" s="26">
        <f>SUM(B2:B7)</f>
        <v>4681</v>
      </c>
      <c r="C8" s="26">
        <f>SUM(C2:C7)</f>
        <v>320</v>
      </c>
      <c r="D8" s="27">
        <f>SUM(D2:D7)</f>
        <v>1079244.71</v>
      </c>
      <c r="E8" s="27">
        <f>SUM(E2:E7)</f>
        <v>53446.520000000004</v>
      </c>
      <c r="F8" s="28">
        <f t="shared" si="0"/>
        <v>6.3987202559488102E-2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Dashboard</vt:lpstr>
      <vt:lpstr>Raw_Data</vt:lpstr>
      <vt:lpstr>Category_Summary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Sneha Rathod</dc:creator>
  <dc:description/>
  <cp:lastModifiedBy>sneha rathod</cp:lastModifiedBy>
  <cp:revision>1</cp:revision>
  <dcterms:created xsi:type="dcterms:W3CDTF">2026-07-19T10:49:39Z</dcterms:created>
  <dcterms:modified xsi:type="dcterms:W3CDTF">2026-07-20T09:00:23Z</dcterms:modified>
  <dc:language>en-US</dc:language>
</cp:coreProperties>
</file>