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Raw_Data" sheetId="3" state="visible" r:id="rId5"/>
    <sheet name="Category_Summar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<sst xmlns="http://schemas.openxmlformats.org/spreadsheetml/2006/main" count="152" uniqueCount="101">
  <si>
    <t xml:space="preserve">Kirana Store Reorder &amp; Wastage Tracker</t>
  </si>
  <si>
    <t xml:space="preserve">Project Objective</t>
  </si>
  <si>
    <t xml:space="preserve">A small kirana (grocery) store owner cannot see, at a glance, which products are about to run out of stock or which categories are losing the most money to wastage (spoilage, damage, expiry). This workbook turns raw daily stock data into a live dashboard that answers both questions automatically.</t>
  </si>
  <si>
    <t xml:space="preserve">Sheets in this Workbook</t>
  </si>
  <si>
    <t xml:space="preserve">- Dashboard - KPI cards, Top 10 products chart, wastage % by category chart.</t>
  </si>
  <si>
    <t xml:space="preserve">- Raw_Data - 43 products, 6 categories, input data (blue font) and calculated columns (black font).</t>
  </si>
  <si>
    <t xml:space="preserve">- Category_Summary - SUMIFS-based rollup of sales, wastage and wastage % by category.</t>
  </si>
  <si>
    <t xml:space="preserve">Key Formulas Used</t>
  </si>
  <si>
    <t xml:space="preserve">- Closing Stock:  =Opening Stock + Purchased Qty - Sold Qty - Wastage Qty</t>
  </si>
  <si>
    <t xml:space="preserve">- Reorder Status:  =IF(Closing Stock &lt; Reorder Level, "Reorder Now", "OK")</t>
  </si>
  <si>
    <t xml:space="preserve">- Wastage %:  =IFERROR(Wastage Qty / (Sold Qty + Wastage Qty), 0)</t>
  </si>
  <si>
    <t xml:space="preserve">- Total Sales Value:  =Sold Qty * Selling Price</t>
  </si>
  <si>
    <t xml:space="preserve">- Total Wastage Value:  =Wastage Qty * Purchase Price</t>
  </si>
  <si>
    <t xml:space="preserve">- Sales Rank:  =RANK(Total Sales Value, range, 0)</t>
  </si>
  <si>
    <t xml:space="preserve">- Category Rollups:  =SUMIFS(value_range, category_range, category_name)</t>
  </si>
  <si>
    <t xml:space="preserve">- Top 10 Product Lookup:  =INDEX(name_range, MATCH(rank_number, rank_range, 0))</t>
  </si>
  <si>
    <t xml:space="preserve">Color Legend</t>
  </si>
  <si>
    <t xml:space="preserve">Blue font = hardcoded input data.   Black font = formula-driven calculated value.</t>
  </si>
  <si>
    <t xml:space="preserve">Red highlight = product needs reorder.   Green highlight = stock is healthy.</t>
  </si>
  <si>
    <t xml:space="preserve">Note on Data</t>
  </si>
  <si>
    <t xml:space="preserve">Product, price and quantity data is simulated for portfolio/practice purposes (not from a real store). Structure and formula logic reflect how a real kirana store's inventory sheet would be built.</t>
  </si>
  <si>
    <t xml:space="preserve">Kirana Store Reorder &amp; Wastage Dashboard</t>
  </si>
  <si>
    <t xml:space="preserve">Inventory, sales and wastage snapshot across 43 products in 6 categories</t>
  </si>
  <si>
    <t xml:space="preserve">Total Revenue</t>
  </si>
  <si>
    <t xml:space="preserve">Total Wastage Cost</t>
  </si>
  <si>
    <t xml:space="preserve">Overall Wastage %</t>
  </si>
  <si>
    <t xml:space="preserve">Products to Reorder</t>
  </si>
  <si>
    <t xml:space="preserve">Top 10 Products by Sales Value</t>
  </si>
  <si>
    <t xml:space="preserve">Products Needing Reorder</t>
  </si>
  <si>
    <t xml:space="preserve">Rank</t>
  </si>
  <si>
    <t xml:space="preserve">Product Name</t>
  </si>
  <si>
    <t xml:space="preserve">Sales Value (Rs)</t>
  </si>
  <si>
    <t xml:space="preserve">Closing Stock</t>
  </si>
  <si>
    <t xml:space="preserve">Reorder Level</t>
  </si>
  <si>
    <t xml:space="preserve">See 'Raw_Data' sheet, column L (Reorder Status).
Filter that column to 'Reorder Now' to see the exact list.
Count of items needing reorder is shown in the KPI card above.</t>
  </si>
  <si>
    <t xml:space="preserve">Product ID</t>
  </si>
  <si>
    <t xml:space="preserve">Category</t>
  </si>
  <si>
    <t xml:space="preserve">Purchase Price (Rs)</t>
  </si>
  <si>
    <t xml:space="preserve">Selling Price (Rs)</t>
  </si>
  <si>
    <t xml:space="preserve">Opening Stock</t>
  </si>
  <si>
    <t xml:space="preserve">Purchased Qty</t>
  </si>
  <si>
    <t xml:space="preserve">Sold Qty</t>
  </si>
  <si>
    <t xml:space="preserve">Wastage Qty</t>
  </si>
  <si>
    <t xml:space="preserve">Reorder Status</t>
  </si>
  <si>
    <t xml:space="preserve">Wastage %</t>
  </si>
  <si>
    <t xml:space="preserve">Profit per Unit (Rs)</t>
  </si>
  <si>
    <t xml:space="preserve">Total Sales Value (Rs)</t>
  </si>
  <si>
    <t xml:space="preserve">Total Wastage Value (Rs)</t>
  </si>
  <si>
    <t xml:space="preserve">Sales Rank</t>
  </si>
  <si>
    <t xml:space="preserve">Toned Milk 500ml</t>
  </si>
  <si>
    <t xml:space="preserve">Dairy</t>
  </si>
  <si>
    <t xml:space="preserve">Full Cream Milk 1L</t>
  </si>
  <si>
    <t xml:space="preserve">Curd 400g</t>
  </si>
  <si>
    <t xml:space="preserve">Paneer 200g</t>
  </si>
  <si>
    <t xml:space="preserve">Butter 100g</t>
  </si>
  <si>
    <t xml:space="preserve">Cheese Slices 200g</t>
  </si>
  <si>
    <t xml:space="preserve">Ghee 500ml</t>
  </si>
  <si>
    <t xml:space="preserve">Aloo Bhujia 200g</t>
  </si>
  <si>
    <t xml:space="preserve">Snacks &amp; Namkeen</t>
  </si>
  <si>
    <t xml:space="preserve">Potato Chips 100g</t>
  </si>
  <si>
    <t xml:space="preserve">Mixture 250g</t>
  </si>
  <si>
    <t xml:space="preserve">Banana Chips 150g</t>
  </si>
  <si>
    <t xml:space="preserve">Salted Peanuts 200g</t>
  </si>
  <si>
    <t xml:space="preserve">Sev 200g</t>
  </si>
  <si>
    <t xml:space="preserve">Namkeen Mix 500g</t>
  </si>
  <si>
    <t xml:space="preserve">Cola 750ml</t>
  </si>
  <si>
    <t xml:space="preserve">Beverages</t>
  </si>
  <si>
    <t xml:space="preserve">Orange Juice 1L</t>
  </si>
  <si>
    <t xml:space="preserve">Mineral Water 1L</t>
  </si>
  <si>
    <t xml:space="preserve">Lemon Drink 500ml</t>
  </si>
  <si>
    <t xml:space="preserve">Tea Powder 250g</t>
  </si>
  <si>
    <t xml:space="preserve">Instant Coffee 100g</t>
  </si>
  <si>
    <t xml:space="preserve">Energy Drink 250ml</t>
  </si>
  <si>
    <t xml:space="preserve">Basmati Rice 5kg</t>
  </si>
  <si>
    <t xml:space="preserve">Grocery &amp; Staples</t>
  </si>
  <si>
    <t xml:space="preserve">Wheat Flour 5kg</t>
  </si>
  <si>
    <t xml:space="preserve">Toor Dal 1kg</t>
  </si>
  <si>
    <t xml:space="preserve">Sugar 1kg</t>
  </si>
  <si>
    <t xml:space="preserve">Cooking Oil 1L</t>
  </si>
  <si>
    <t xml:space="preserve">Salt 1kg</t>
  </si>
  <si>
    <t xml:space="preserve">Besan 500g</t>
  </si>
  <si>
    <t xml:space="preserve">Poha 500g</t>
  </si>
  <si>
    <t xml:space="preserve">Shampoo 200ml</t>
  </si>
  <si>
    <t xml:space="preserve">Personal Care</t>
  </si>
  <si>
    <t xml:space="preserve">Toothpaste 150g</t>
  </si>
  <si>
    <t xml:space="preserve">Soap Bar 100g</t>
  </si>
  <si>
    <t xml:space="preserve">Hair Oil 200ml</t>
  </si>
  <si>
    <t xml:space="preserve">Face Wash 100ml</t>
  </si>
  <si>
    <t xml:space="preserve">Talcum Powder 100g</t>
  </si>
  <si>
    <t xml:space="preserve">Razor Pack</t>
  </si>
  <si>
    <t xml:space="preserve">Detergent Powder 1kg</t>
  </si>
  <si>
    <t xml:space="preserve">Household Items</t>
  </si>
  <si>
    <t xml:space="preserve">Dish Wash Bar</t>
  </si>
  <si>
    <t xml:space="preserve">Floor Cleaner 1L</t>
  </si>
  <si>
    <t xml:space="preserve">Toilet Cleaner 500ml</t>
  </si>
  <si>
    <t xml:space="preserve">Room Freshener</t>
  </si>
  <si>
    <t xml:space="preserve">Broom</t>
  </si>
  <si>
    <t xml:space="preserve">Garbage Bags Pack</t>
  </si>
  <si>
    <t xml:space="preserve">Total Sold Qty</t>
  </si>
  <si>
    <t xml:space="preserve">Total Wastage Qty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</si>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</sst>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s &quot;#,##0"/>
    <numFmt numFmtId="166" formatCode="0.0%"/>
    <numFmt numFmtId="167" formatCode="0"/>
    <numFmt numFmtId="168" formatCode="&quot;Rs &quot;#,##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E5395"/>
      <name val="Arial"/>
      <family val="0"/>
      <charset val="1"/>
    </font>
    <font>
      <b val="true"/>
      <sz val="12"/>
      <color rgb="FF2E5395"/>
      <name val="Arial"/>
      <family val="0"/>
      <charset val="1"/>
    </font>
    <font>
      <sz val="10.5"/>
      <color rgb="FF000000"/>
      <name val="Arial"/>
      <family val="0"/>
      <charset val="1"/>
    </font>
    <font>
      <b val="true"/>
      <sz val="18"/>
      <color rgb="FF2E5395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E5395"/>
        <bgColor rgb="FF595959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E67E22"/>
      <rgbColor rgb="FF595959"/>
      <rgbColor rgb="FF878787"/>
      <rgbColor rgb="FF003366"/>
      <rgbColor rgb="FF27AE60"/>
      <rgbColor rgb="FF003300"/>
      <rgbColor rgb="FF333300"/>
      <rgbColor rgb="FFC0392B"/>
      <rgbColor rgb="FF993366"/>
      <rgbColor rgb="FF2E53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Wastage %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Category_Summary!F1</c:f>
              <c:strCache>
                <c:ptCount val="1"/>
                <c:pt idx="0">
                  <c:v>Wastage %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Category_Summary!$A$2:$A$7</c:f>
              <c:strCache>
                <c:ptCount val="6"/>
                <c:pt idx="0">
                  <c:v>Dairy</c:v>
                </c:pt>
                <c:pt idx="1">
                  <c:v>Snacks &amp; Namkeen</c:v>
                </c:pt>
                <c:pt idx="2">
                  <c:v>Beverages</c:v>
                </c:pt>
                <c:pt idx="3">
                  <c:v>Grocery &amp; Staples</c:v>
                </c:pt>
                <c:pt idx="4">
                  <c:v>Personal Care</c:v>
                </c:pt>
                <c:pt idx="5">
                  <c:v>Household Items</c:v>
                </c:pt>
              </c:strCache>
            </c:strRef>
          </c:cat>
          <c:val>
            <c:numRef>
              <c:f>Category_Summary!$F$2:$F$7</c:f>
              <c:numCache>
                <c:formatCode>0.0%</c:formatCode>
                <c:ptCount val="6"/>
                <c:pt idx="0">
                  <c:v>0.153256704980843</c:v>
                </c:pt>
                <c:pt idx="1">
                  <c:v>0.0617142857142857</c:v>
                </c:pt>
                <c:pt idx="2">
                  <c:v>0.0464135021097046</c:v>
                </c:pt>
                <c:pt idx="3">
                  <c:v>0.0494117647058824</c:v>
                </c:pt>
                <c:pt idx="4">
                  <c:v>0.046286329386437</c:v>
                </c:pt>
                <c:pt idx="5">
                  <c:v>0.0275974025974026</c:v>
                </c:pt>
              </c:numCache>
            </c:numRef>
          </c:val>
        </c:ser>
        <c:gapWidth val="150"/>
        <c:overlap val="0"/>
        <c:axId val="73186208"/>
        <c:axId val="81336255"/>
      </c:barChart>
      <c:catAx>
        <c:axId val="731862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36255"/>
        <c:crosses val="autoZero"/>
        <c:auto val="1"/>
        <c:lblAlgn val="ctr"/>
        <c:lblOffset val="100"/>
        <c:noMultiLvlLbl val="0"/>
      </c:catAx>
      <c:valAx>
        <c:axId val="813362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Wastage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18620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10 Products by Sales Value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Dashboard!D11</c:f>
              <c:strCache>
                <c:ptCount val="1"/>
                <c:pt idx="0">
                  <c:v>Sales Value (Rs)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Dashboard!$C$12:$C$21</c:f>
              <c:strCache>
                <c:ptCount val="10"/>
                <c:pt idx="0">
                  <c:v>Namkeen Mix 500g</c:v>
                </c:pt>
                <c:pt idx="1">
                  <c:v>Hair Oil 200ml</c:v>
                </c:pt>
                <c:pt idx="2">
                  <c:v>Tea Powder 250g</c:v>
                </c:pt>
                <c:pt idx="3">
                  <c:v>Energy Drink 250ml</c:v>
                </c:pt>
                <c:pt idx="4">
                  <c:v>Floor Cleaner 1L</c:v>
                </c:pt>
                <c:pt idx="5">
                  <c:v>Sev 200g</c:v>
                </c:pt>
                <c:pt idx="6">
                  <c:v>Razor Pack</c:v>
                </c:pt>
                <c:pt idx="7">
                  <c:v>Potato Chips 100g</c:v>
                </c:pt>
                <c:pt idx="8">
                  <c:v>Detergent Powder 1kg</c:v>
                </c:pt>
                <c:pt idx="9">
                  <c:v>Wheat Flour 5kg</c:v>
                </c:pt>
              </c:strCache>
            </c:strRef>
          </c:cat>
          <c:val>
            <c:numRef>
              <c:f>Dashboard!$D$12:$D$21</c:f>
              <c:numCache>
                <c:formatCode>"Rs "#,##0</c:formatCode>
                <c:ptCount val="10"/>
                <c:pt idx="0">
                  <c:v>67372.2</c:v>
                </c:pt>
                <c:pt idx="1">
                  <c:v>55829.3</c:v>
                </c:pt>
                <c:pt idx="2">
                  <c:v>53844.21</c:v>
                </c:pt>
                <c:pt idx="3">
                  <c:v>51074.24</c:v>
                </c:pt>
                <c:pt idx="4">
                  <c:v>49332.48</c:v>
                </c:pt>
                <c:pt idx="5">
                  <c:v>47573.75</c:v>
                </c:pt>
                <c:pt idx="6">
                  <c:v>46663.78</c:v>
                </c:pt>
                <c:pt idx="7">
                  <c:v>42666.78</c:v>
                </c:pt>
                <c:pt idx="8">
                  <c:v>36277.6</c:v>
                </c:pt>
                <c:pt idx="9">
                  <c:v>34979.1</c:v>
                </c:pt>
              </c:numCache>
            </c:numRef>
          </c:val>
        </c:ser>
        <c:gapWidth val="150"/>
        <c:overlap val="0"/>
        <c:axId val="48718767"/>
        <c:axId val="21842095"/>
      </c:barChart>
      <c:catAx>
        <c:axId val="4871876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Sales Value (Rs)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42095"/>
        <c:crosses val="autoZero"/>
        <c:auto val="1"/>
        <c:lblAlgn val="ctr"/>
        <c:lblOffset val="100"/>
        <c:noMultiLvlLbl val="0"/>
      </c:catAx>
      <c:valAx>
        <c:axId val="218420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Product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Rs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187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22</xdr:row>
      <xdr:rowOff>100800</xdr:rowOff>
    </xdr:from>
    <xdr:to>
      <xdr:col>5</xdr:col>
      <xdr:colOff>1107360</xdr:colOff>
      <xdr:row>37</xdr:row>
      <xdr:rowOff>123120</xdr:rowOff>
    </xdr:to>
    <xdr:graphicFrame>
      <xdr:nvGraphicFramePr>
        <xdr:cNvPr id="0" name="Chart 1"/>
        <xdr:cNvGraphicFramePr/>
      </xdr:nvGraphicFramePr>
      <xdr:xfrm>
        <a:off x="211320" y="46386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39</xdr:row>
      <xdr:rowOff>100800</xdr:rowOff>
    </xdr:from>
    <xdr:to>
      <xdr:col>5</xdr:col>
      <xdr:colOff>1107360</xdr:colOff>
      <xdr:row>58</xdr:row>
      <xdr:rowOff>81000</xdr:rowOff>
    </xdr:to>
    <xdr:graphicFrame>
      <xdr:nvGraphicFramePr>
        <xdr:cNvPr id="1" name="Chart 2"/>
        <xdr:cNvGraphicFramePr/>
      </xdr:nvGraphicFramePr>
      <xdr:xfrm>
        <a:off x="211320" y="787716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0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60" hidden="false" customHeight="true" outlineLevel="0" collapsed="false">
      <c r="B5" s="3" t="s">
        <v>2</v>
      </c>
    </row>
    <row r="7" customFormat="false" ht="15" hidden="false" customHeight="false" outlineLevel="0" collapsed="false">
      <c r="B7" s="2" t="s">
        <v>3</v>
      </c>
    </row>
    <row r="8" customFormat="false" ht="15" hidden="false" customHeight="false" outlineLevel="0" collapsed="false">
      <c r="B8" s="4" t="s">
        <v>4</v>
      </c>
    </row>
    <row r="9" customFormat="false" ht="15" hidden="false" customHeight="false" outlineLevel="0" collapsed="false">
      <c r="B9" s="4" t="s">
        <v>5</v>
      </c>
    </row>
    <row r="10" customFormat="false" ht="15" hidden="false" customHeight="false" outlineLevel="0" collapsed="false">
      <c r="B10" s="4" t="s">
        <v>6</v>
      </c>
    </row>
    <row r="12" customFormat="false" ht="15" hidden="false" customHeight="false" outlineLevel="0" collapsed="false">
      <c r="B12" s="2" t="s">
        <v>7</v>
      </c>
    </row>
    <row r="13" customFormat="false" ht="15" hidden="false" customHeight="false" outlineLevel="0" collapsed="false">
      <c r="B13" s="4" t="s">
        <v>8</v>
      </c>
    </row>
    <row r="14" customFormat="false" ht="15" hidden="false" customHeight="false" outlineLevel="0" collapsed="false">
      <c r="B14" s="4" t="s">
        <v>9</v>
      </c>
    </row>
    <row r="15" customFormat="false" ht="15" hidden="false" customHeight="false" outlineLevel="0" collapsed="false">
      <c r="B15" s="4" t="s">
        <v>10</v>
      </c>
    </row>
    <row r="16" customFormat="false" ht="15" hidden="false" customHeight="false" outlineLevel="0" collapsed="false">
      <c r="B16" s="4" t="s">
        <v>11</v>
      </c>
    </row>
    <row r="17" customFormat="false" ht="1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4" t="s">
        <v>13</v>
      </c>
    </row>
    <row r="19" customFormat="false" ht="15" hidden="false" customHeight="false" outlineLevel="0" collapsed="false">
      <c r="B19" s="4" t="s">
        <v>14</v>
      </c>
    </row>
    <row r="20" customFormat="false" ht="15" hidden="false" customHeight="false" outlineLevel="0" collapsed="false">
      <c r="B20" s="4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4" t="s">
        <v>18</v>
      </c>
    </row>
    <row r="26" customFormat="false" ht="15" hidden="false" customHeight="false" outlineLevel="0" collapsed="false">
      <c r="B26" s="2" t="s">
        <v>19</v>
      </c>
    </row>
    <row r="27" customFormat="false" ht="39.75" hidden="false" customHeight="true" outlineLevel="0" collapsed="false">
      <c r="B27" s="5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9" min="7" style="0" width="14"/>
  </cols>
  <sheetData>
    <row r="2" customFormat="false" ht="22.05" hidden="false" customHeight="false" outlineLevel="0" collapsed="false">
      <c r="B2" s="6" t="s">
        <v>21</v>
      </c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B3" s="7" t="s">
        <v>22</v>
      </c>
      <c r="C3" s="7"/>
      <c r="D3" s="7"/>
      <c r="E3" s="7"/>
      <c r="F3" s="7"/>
      <c r="G3" s="7"/>
      <c r="H3" s="7"/>
      <c r="I3" s="7"/>
    </row>
    <row r="5" customFormat="false" ht="21.75" hidden="false" customHeight="true" outlineLevel="0" collapsed="false">
      <c r="B5" s="8" t="s">
        <v>23</v>
      </c>
      <c r="C5" s="8"/>
      <c r="D5" s="9" t="s">
        <v>24</v>
      </c>
      <c r="E5" s="9"/>
      <c r="F5" s="10" t="s">
        <v>25</v>
      </c>
      <c r="G5" s="10"/>
      <c r="H5" s="11" t="s">
        <v>26</v>
      </c>
      <c r="I5" s="11"/>
    </row>
    <row r="6" customFormat="false" ht="21.75" hidden="false" customHeight="true" outlineLevel="0" collapsed="false">
      <c r="B6" s="12" t="n">
        <f aca="false">SUM(Raw_Data!O2:O44)</f>
        <v>1079244.71</v>
      </c>
      <c r="C6" s="12"/>
      <c r="D6" s="13" t="n">
        <f aca="false">SUM(Raw_Data!P2:P44)</f>
        <v>53446.52</v>
      </c>
      <c r="E6" s="13"/>
      <c r="F6" s="14" t="n">
        <f aca="false">SUM(Raw_Data!I2:I44)/(SUM(Raw_Data!H2:H44)+SUM(Raw_Data!I2:I44))</f>
        <v>0.0639872025594881</v>
      </c>
      <c r="G6" s="14"/>
      <c r="H6" s="15" t="n">
        <f aca="false">COUNTIF(Raw_Data!L2:L44,"Reorder Now")</f>
        <v>21</v>
      </c>
      <c r="I6" s="15"/>
    </row>
    <row r="7" customFormat="false" ht="21.75" hidden="false" customHeight="true" outlineLevel="0" collapsed="false">
      <c r="B7" s="12"/>
      <c r="C7" s="12"/>
      <c r="D7" s="13"/>
      <c r="E7" s="13"/>
      <c r="F7" s="14"/>
      <c r="G7" s="14"/>
      <c r="H7" s="15"/>
      <c r="I7" s="15"/>
    </row>
    <row r="10" customFormat="false" ht="15" hidden="false" customHeight="false" outlineLevel="0" collapsed="false">
      <c r="B10" s="2" t="s">
        <v>27</v>
      </c>
      <c r="F10" s="2" t="s">
        <v>28</v>
      </c>
    </row>
    <row r="11" customFormat="false" ht="15" hidden="false" customHeight="false" outlineLevel="0" collapsed="false">
      <c r="B11" s="16" t="s">
        <v>29</v>
      </c>
      <c r="C11" s="16" t="s">
        <v>30</v>
      </c>
      <c r="D11" s="16" t="s">
        <v>31</v>
      </c>
      <c r="F11" s="16" t="s">
        <v>30</v>
      </c>
      <c r="G11" s="16" t="s">
        <v>32</v>
      </c>
      <c r="H11" s="16" t="s">
        <v>33</v>
      </c>
    </row>
    <row r="12" customFormat="false" ht="15" hidden="false" customHeight="true" outlineLevel="0" collapsed="false">
      <c r="B12" s="17" t="n">
        <v>1</v>
      </c>
      <c r="C12" s="17" t="str">
        <f aca="false">INDEX(Raw_Data!$B$2:$B$44,MATCH(B12,Raw_Data!$Q$2:$Q$44,0))</f>
        <v>Namkeen Mix 500g</v>
      </c>
      <c r="D12" s="18" t="n">
        <f aca="false">INDEX(Raw_Data!$O$2:$O$44,MATCH(B12,Raw_Data!$Q$2:$Q$44,0))</f>
        <v>67372.2</v>
      </c>
      <c r="F12" s="19" t="s">
        <v>34</v>
      </c>
      <c r="G12" s="19"/>
      <c r="H12" s="19"/>
    </row>
    <row r="13" customFormat="false" ht="15" hidden="false" customHeight="false" outlineLevel="0" collapsed="false">
      <c r="B13" s="17" t="n">
        <v>2</v>
      </c>
      <c r="C13" s="17" t="str">
        <f aca="false">INDEX(Raw_Data!$B$2:$B$44,MATCH(B13,Raw_Data!$Q$2:$Q$44,0))</f>
        <v>Hair Oil 200ml</v>
      </c>
      <c r="D13" s="18" t="n">
        <f aca="false">INDEX(Raw_Data!$O$2:$O$44,MATCH(B13,Raw_Data!$Q$2:$Q$44,0))</f>
        <v>55829.3</v>
      </c>
      <c r="F13" s="19"/>
      <c r="G13" s="19"/>
      <c r="H13" s="19"/>
    </row>
    <row r="14" customFormat="false" ht="15" hidden="false" customHeight="false" outlineLevel="0" collapsed="false">
      <c r="B14" s="17" t="n">
        <v>3</v>
      </c>
      <c r="C14" s="17" t="str">
        <f aca="false">INDEX(Raw_Data!$B$2:$B$44,MATCH(B14,Raw_Data!$Q$2:$Q$44,0))</f>
        <v>Tea Powder 250g</v>
      </c>
      <c r="D14" s="18" t="n">
        <f aca="false">INDEX(Raw_Data!$O$2:$O$44,MATCH(B14,Raw_Data!$Q$2:$Q$44,0))</f>
        <v>53844.21</v>
      </c>
      <c r="F14" s="19"/>
      <c r="G14" s="19"/>
      <c r="H14" s="19"/>
    </row>
    <row r="15" customFormat="false" ht="15" hidden="false" customHeight="false" outlineLevel="0" collapsed="false">
      <c r="B15" s="17" t="n">
        <v>4</v>
      </c>
      <c r="C15" s="17" t="str">
        <f aca="false">INDEX(Raw_Data!$B$2:$B$44,MATCH(B15,Raw_Data!$Q$2:$Q$44,0))</f>
        <v>Energy Drink 250ml</v>
      </c>
      <c r="D15" s="18" t="n">
        <f aca="false">INDEX(Raw_Data!$O$2:$O$44,MATCH(B15,Raw_Data!$Q$2:$Q$44,0))</f>
        <v>51074.24</v>
      </c>
    </row>
    <row r="16" customFormat="false" ht="15" hidden="false" customHeight="false" outlineLevel="0" collapsed="false">
      <c r="B16" s="17" t="n">
        <v>5</v>
      </c>
      <c r="C16" s="17" t="str">
        <f aca="false">INDEX(Raw_Data!$B$2:$B$44,MATCH(B16,Raw_Data!$Q$2:$Q$44,0))</f>
        <v>Floor Cleaner 1L</v>
      </c>
      <c r="D16" s="18" t="n">
        <f aca="false">INDEX(Raw_Data!$O$2:$O$44,MATCH(B16,Raw_Data!$Q$2:$Q$44,0))</f>
        <v>49332.48</v>
      </c>
    </row>
    <row r="17" customFormat="false" ht="15" hidden="false" customHeight="false" outlineLevel="0" collapsed="false">
      <c r="B17" s="17" t="n">
        <v>6</v>
      </c>
      <c r="C17" s="17" t="str">
        <f aca="false">INDEX(Raw_Data!$B$2:$B$44,MATCH(B17,Raw_Data!$Q$2:$Q$44,0))</f>
        <v>Sev 200g</v>
      </c>
      <c r="D17" s="18" t="n">
        <f aca="false">INDEX(Raw_Data!$O$2:$O$44,MATCH(B17,Raw_Data!$Q$2:$Q$44,0))</f>
        <v>47573.75</v>
      </c>
    </row>
    <row r="18" customFormat="false" ht="15" hidden="false" customHeight="false" outlineLevel="0" collapsed="false">
      <c r="B18" s="17" t="n">
        <v>7</v>
      </c>
      <c r="C18" s="17" t="str">
        <f aca="false">INDEX(Raw_Data!$B$2:$B$44,MATCH(B18,Raw_Data!$Q$2:$Q$44,0))</f>
        <v>Razor Pack</v>
      </c>
      <c r="D18" s="18" t="n">
        <f aca="false">INDEX(Raw_Data!$O$2:$O$44,MATCH(B18,Raw_Data!$Q$2:$Q$44,0))</f>
        <v>46663.78</v>
      </c>
    </row>
    <row r="19" customFormat="false" ht="15" hidden="false" customHeight="false" outlineLevel="0" collapsed="false">
      <c r="B19" s="17" t="n">
        <v>8</v>
      </c>
      <c r="C19" s="17" t="str">
        <f aca="false">INDEX(Raw_Data!$B$2:$B$44,MATCH(B19,Raw_Data!$Q$2:$Q$44,0))</f>
        <v>Potato Chips 100g</v>
      </c>
      <c r="D19" s="18" t="n">
        <f aca="false">INDEX(Raw_Data!$O$2:$O$44,MATCH(B19,Raw_Data!$Q$2:$Q$44,0))</f>
        <v>42666.78</v>
      </c>
    </row>
    <row r="20" customFormat="false" ht="15" hidden="false" customHeight="false" outlineLevel="0" collapsed="false">
      <c r="B20" s="17" t="n">
        <v>9</v>
      </c>
      <c r="C20" s="17" t="str">
        <f aca="false">INDEX(Raw_Data!$B$2:$B$44,MATCH(B20,Raw_Data!$Q$2:$Q$44,0))</f>
        <v>Detergent Powder 1kg</v>
      </c>
      <c r="D20" s="18" t="n">
        <f aca="false">INDEX(Raw_Data!$O$2:$O$44,MATCH(B20,Raw_Data!$Q$2:$Q$44,0))</f>
        <v>36277.6</v>
      </c>
    </row>
    <row r="21" customFormat="false" ht="15" hidden="false" customHeight="false" outlineLevel="0" collapsed="false">
      <c r="B21" s="17" t="n">
        <v>10</v>
      </c>
      <c r="C21" s="17" t="str">
        <f aca="false">INDEX(Raw_Data!$B$2:$B$44,MATCH(B21,Raw_Data!$Q$2:$Q$44,0))</f>
        <v>Wheat Flour 5kg</v>
      </c>
      <c r="D21" s="18" t="n">
        <f aca="false">INDEX(Raw_Data!$O$2:$O$44,MATCH(B21,Raw_Data!$Q$2:$Q$44,0))</f>
        <v>34979.1</v>
      </c>
    </row>
  </sheetData>
  <mergeCells count="11">
    <mergeCell ref="B2:I2"/>
    <mergeCell ref="B3:I3"/>
    <mergeCell ref="B5:C5"/>
    <mergeCell ref="D5:E5"/>
    <mergeCell ref="F5:G5"/>
    <mergeCell ref="H5:I5"/>
    <mergeCell ref="B6:C7"/>
    <mergeCell ref="D6:E7"/>
    <mergeCell ref="F6:G7"/>
    <mergeCell ref="H6:I7"/>
    <mergeCell ref="F12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7" min="6" style="0" width="12"/>
    <col collapsed="false" customWidth="true" hidden="false" outlineLevel="0" max="8" min="8" style="0" width="10"/>
    <col collapsed="false" customWidth="true" hidden="false" outlineLevel="0" max="11" min="9" style="0" width="12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5" min="14" style="0" width="16"/>
    <col collapsed="false" customWidth="true" hidden="false" outlineLevel="0" max="16" min="16" style="0" width="18"/>
    <col collapsed="false" customWidth="true" hidden="false" outlineLevel="0" max="17" min="17" style="0" width="10"/>
  </cols>
  <sheetData>
    <row r="1" customFormat="false" ht="30" hidden="false" customHeight="true" outlineLevel="0" collapsed="false">
      <c r="A1" s="20" t="s">
        <v>35</v>
      </c>
      <c r="B1" s="20" t="s">
        <v>30</v>
      </c>
      <c r="C1" s="20" t="s">
        <v>36</v>
      </c>
      <c r="D1" s="20" t="s">
        <v>37</v>
      </c>
      <c r="E1" s="20" t="s">
        <v>38</v>
      </c>
      <c r="F1" s="20" t="s">
        <v>39</v>
      </c>
      <c r="G1" s="20" t="s">
        <v>40</v>
      </c>
      <c r="H1" s="20" t="s">
        <v>41</v>
      </c>
      <c r="I1" s="20" t="s">
        <v>42</v>
      </c>
      <c r="J1" s="20" t="s">
        <v>32</v>
      </c>
      <c r="K1" s="20" t="s">
        <v>33</v>
      </c>
      <c r="L1" s="20" t="s">
        <v>43</v>
      </c>
      <c r="M1" s="20" t="s">
        <v>44</v>
      </c>
      <c r="N1" s="20" t="s">
        <v>45</v>
      </c>
      <c r="O1" s="20" t="s">
        <v>46</v>
      </c>
      <c r="P1" s="20" t="s">
        <v>47</v>
      </c>
      <c r="Q1" s="20" t="s">
        <v>48</v>
      </c>
    </row>
    <row r="2" customFormat="false" ht="15" hidden="false" customHeight="false" outlineLevel="0" collapsed="false">
      <c r="A2" s="21" t="n">
        <v>1</v>
      </c>
      <c r="B2" s="21" t="s">
        <v>49</v>
      </c>
      <c r="C2" s="21" t="s">
        <v>50</v>
      </c>
      <c r="D2" s="22" t="n">
        <v>229.21</v>
      </c>
      <c r="E2" s="22" t="n">
        <v>264.74</v>
      </c>
      <c r="F2" s="21" t="n">
        <v>55</v>
      </c>
      <c r="G2" s="21" t="n">
        <v>61</v>
      </c>
      <c r="H2" s="21" t="n">
        <v>64</v>
      </c>
      <c r="I2" s="21" t="n">
        <v>11</v>
      </c>
      <c r="J2" s="17" t="n">
        <f aca="false">F2+G2-H2-I2</f>
        <v>41</v>
      </c>
      <c r="K2" s="21" t="n">
        <v>36</v>
      </c>
      <c r="L2" s="23" t="str">
        <f aca="false">IF(J2&lt;K2,"Reorder Now","OK")</f>
        <v>OK</v>
      </c>
      <c r="M2" s="24" t="n">
        <f aca="false">IFERROR(I2/(H2+I2),0)</f>
        <v>0.146666666666667</v>
      </c>
      <c r="N2" s="25" t="n">
        <f aca="false">E2-D2</f>
        <v>35.53</v>
      </c>
      <c r="O2" s="25" t="n">
        <f aca="false">H2*E2</f>
        <v>16943.36</v>
      </c>
      <c r="P2" s="25" t="n">
        <f aca="false">I2*D2</f>
        <v>2521.31</v>
      </c>
      <c r="Q2" s="17" t="n">
        <f aca="false">RANK(O2,$O$2:$O$44,0)</f>
        <v>27</v>
      </c>
    </row>
    <row r="3" customFormat="false" ht="15" hidden="false" customHeight="false" outlineLevel="0" collapsed="false">
      <c r="A3" s="21" t="n">
        <v>2</v>
      </c>
      <c r="B3" s="21" t="s">
        <v>51</v>
      </c>
      <c r="C3" s="21" t="s">
        <v>50</v>
      </c>
      <c r="D3" s="22" t="n">
        <v>263.12</v>
      </c>
      <c r="E3" s="22" t="n">
        <v>331.29</v>
      </c>
      <c r="F3" s="21" t="n">
        <v>95</v>
      </c>
      <c r="G3" s="21" t="n">
        <v>84</v>
      </c>
      <c r="H3" s="21" t="n">
        <v>100</v>
      </c>
      <c r="I3" s="21" t="n">
        <v>14</v>
      </c>
      <c r="J3" s="17" t="n">
        <f aca="false">F3+G3-H3-I3</f>
        <v>65</v>
      </c>
      <c r="K3" s="21" t="n">
        <v>21</v>
      </c>
      <c r="L3" s="23" t="str">
        <f aca="false">IF(J3&lt;K3,"Reorder Now","OK")</f>
        <v>OK</v>
      </c>
      <c r="M3" s="24" t="n">
        <f aca="false">IFERROR(I3/(H3+I3),0)</f>
        <v>0.12280701754386</v>
      </c>
      <c r="N3" s="25" t="n">
        <f aca="false">E3-D3</f>
        <v>68.17</v>
      </c>
      <c r="O3" s="25" t="n">
        <f aca="false">H3*E3</f>
        <v>33129</v>
      </c>
      <c r="P3" s="25" t="n">
        <f aca="false">I3*D3</f>
        <v>3683.68</v>
      </c>
      <c r="Q3" s="17" t="n">
        <f aca="false">RANK(O3,$O$2:$O$44,0)</f>
        <v>13</v>
      </c>
    </row>
    <row r="4" customFormat="false" ht="15" hidden="false" customHeight="false" outlineLevel="0" collapsed="false">
      <c r="A4" s="21" t="n">
        <v>3</v>
      </c>
      <c r="B4" s="21" t="s">
        <v>52</v>
      </c>
      <c r="C4" s="21" t="s">
        <v>50</v>
      </c>
      <c r="D4" s="22" t="n">
        <v>92.94</v>
      </c>
      <c r="E4" s="22" t="n">
        <v>118.07</v>
      </c>
      <c r="F4" s="21" t="n">
        <v>91</v>
      </c>
      <c r="G4" s="21" t="n">
        <v>55</v>
      </c>
      <c r="H4" s="21" t="n">
        <v>117</v>
      </c>
      <c r="I4" s="21" t="n">
        <v>22</v>
      </c>
      <c r="J4" s="17" t="n">
        <f aca="false">F4+G4-H4-I4</f>
        <v>7</v>
      </c>
      <c r="K4" s="21" t="n">
        <v>32</v>
      </c>
      <c r="L4" s="23" t="str">
        <f aca="false">IF(J4&lt;K4,"Reorder Now","OK")</f>
        <v>Reorder Now</v>
      </c>
      <c r="M4" s="24" t="n">
        <f aca="false">IFERROR(I4/(H4+I4),0)</f>
        <v>0.158273381294964</v>
      </c>
      <c r="N4" s="25" t="n">
        <f aca="false">E4-D4</f>
        <v>25.13</v>
      </c>
      <c r="O4" s="25" t="n">
        <f aca="false">H4*E4</f>
        <v>13814.19</v>
      </c>
      <c r="P4" s="25" t="n">
        <f aca="false">I4*D4</f>
        <v>2044.68</v>
      </c>
      <c r="Q4" s="17" t="n">
        <f aca="false">RANK(O4,$O$2:$O$44,0)</f>
        <v>29</v>
      </c>
    </row>
    <row r="5" customFormat="false" ht="15" hidden="false" customHeight="false" outlineLevel="0" collapsed="false">
      <c r="A5" s="21" t="n">
        <v>4</v>
      </c>
      <c r="B5" s="21" t="s">
        <v>53</v>
      </c>
      <c r="C5" s="21" t="s">
        <v>50</v>
      </c>
      <c r="D5" s="22" t="n">
        <v>155.54</v>
      </c>
      <c r="E5" s="22" t="n">
        <v>192.84</v>
      </c>
      <c r="F5" s="21" t="n">
        <v>55</v>
      </c>
      <c r="G5" s="21" t="n">
        <v>133</v>
      </c>
      <c r="H5" s="21" t="n">
        <v>142</v>
      </c>
      <c r="I5" s="21" t="n">
        <v>31</v>
      </c>
      <c r="J5" s="17" t="n">
        <f aca="false">F5+G5-H5-I5</f>
        <v>15</v>
      </c>
      <c r="K5" s="21" t="n">
        <v>40</v>
      </c>
      <c r="L5" s="23" t="str">
        <f aca="false">IF(J5&lt;K5,"Reorder Now","OK")</f>
        <v>Reorder Now</v>
      </c>
      <c r="M5" s="24" t="n">
        <f aca="false">IFERROR(I5/(H5+I5),0)</f>
        <v>0.179190751445087</v>
      </c>
      <c r="N5" s="25" t="n">
        <f aca="false">E5-D5</f>
        <v>37.3</v>
      </c>
      <c r="O5" s="25" t="n">
        <f aca="false">H5*E5</f>
        <v>27383.28</v>
      </c>
      <c r="P5" s="25" t="n">
        <f aca="false">I5*D5</f>
        <v>4821.74</v>
      </c>
      <c r="Q5" s="17" t="n">
        <f aca="false">RANK(O5,$O$2:$O$44,0)</f>
        <v>18</v>
      </c>
    </row>
    <row r="6" customFormat="false" ht="15" hidden="false" customHeight="false" outlineLevel="0" collapsed="false">
      <c r="A6" s="21" t="n">
        <v>5</v>
      </c>
      <c r="B6" s="21" t="s">
        <v>54</v>
      </c>
      <c r="C6" s="21" t="s">
        <v>50</v>
      </c>
      <c r="D6" s="22" t="n">
        <v>68.49</v>
      </c>
      <c r="E6" s="22" t="n">
        <v>84.55</v>
      </c>
      <c r="F6" s="21" t="n">
        <v>55</v>
      </c>
      <c r="G6" s="21" t="n">
        <v>49</v>
      </c>
      <c r="H6" s="21" t="n">
        <v>73</v>
      </c>
      <c r="I6" s="21" t="n">
        <v>10</v>
      </c>
      <c r="J6" s="17" t="n">
        <f aca="false">F6+G6-H6-I6</f>
        <v>21</v>
      </c>
      <c r="K6" s="21" t="n">
        <v>18</v>
      </c>
      <c r="L6" s="23" t="str">
        <f aca="false">IF(J6&lt;K6,"Reorder Now","OK")</f>
        <v>OK</v>
      </c>
      <c r="M6" s="24" t="n">
        <f aca="false">IFERROR(I6/(H6+I6),0)</f>
        <v>0.120481927710843</v>
      </c>
      <c r="N6" s="25" t="n">
        <f aca="false">E6-D6</f>
        <v>16.06</v>
      </c>
      <c r="O6" s="25" t="n">
        <f aca="false">H6*E6</f>
        <v>6172.15</v>
      </c>
      <c r="P6" s="25" t="n">
        <f aca="false">I6*D6</f>
        <v>684.9</v>
      </c>
      <c r="Q6" s="17" t="n">
        <f aca="false">RANK(O6,$O$2:$O$44,0)</f>
        <v>38</v>
      </c>
    </row>
    <row r="7" customFormat="false" ht="15" hidden="false" customHeight="false" outlineLevel="0" collapsed="false">
      <c r="A7" s="21" t="n">
        <v>6</v>
      </c>
      <c r="B7" s="21" t="s">
        <v>55</v>
      </c>
      <c r="C7" s="21" t="s">
        <v>50</v>
      </c>
      <c r="D7" s="22" t="n">
        <v>46.07</v>
      </c>
      <c r="E7" s="22" t="n">
        <v>53.87</v>
      </c>
      <c r="F7" s="21" t="n">
        <v>64</v>
      </c>
      <c r="G7" s="21" t="n">
        <v>107</v>
      </c>
      <c r="H7" s="21" t="n">
        <v>90</v>
      </c>
      <c r="I7" s="21" t="n">
        <v>18</v>
      </c>
      <c r="J7" s="17" t="n">
        <f aca="false">F7+G7-H7-I7</f>
        <v>63</v>
      </c>
      <c r="K7" s="21" t="n">
        <v>38</v>
      </c>
      <c r="L7" s="23" t="str">
        <f aca="false">IF(J7&lt;K7,"Reorder Now","OK")</f>
        <v>OK</v>
      </c>
      <c r="M7" s="24" t="n">
        <f aca="false">IFERROR(I7/(H7+I7),0)</f>
        <v>0.166666666666667</v>
      </c>
      <c r="N7" s="25" t="n">
        <f aca="false">E7-D7</f>
        <v>7.8</v>
      </c>
      <c r="O7" s="25" t="n">
        <f aca="false">H7*E7</f>
        <v>4848.3</v>
      </c>
      <c r="P7" s="25" t="n">
        <f aca="false">I7*D7</f>
        <v>829.26</v>
      </c>
      <c r="Q7" s="17" t="n">
        <f aca="false">RANK(O7,$O$2:$O$44,0)</f>
        <v>39</v>
      </c>
    </row>
    <row r="8" customFormat="false" ht="15" hidden="false" customHeight="false" outlineLevel="0" collapsed="false">
      <c r="A8" s="21" t="n">
        <v>7</v>
      </c>
      <c r="B8" s="21" t="s">
        <v>56</v>
      </c>
      <c r="C8" s="21" t="s">
        <v>50</v>
      </c>
      <c r="D8" s="22" t="n">
        <v>168.91</v>
      </c>
      <c r="E8" s="22" t="n">
        <v>198.46</v>
      </c>
      <c r="F8" s="21" t="n">
        <v>68</v>
      </c>
      <c r="G8" s="21" t="n">
        <v>40</v>
      </c>
      <c r="H8" s="21" t="n">
        <v>77</v>
      </c>
      <c r="I8" s="21" t="n">
        <v>14</v>
      </c>
      <c r="J8" s="17" t="n">
        <f aca="false">F8+G8-H8-I8</f>
        <v>17</v>
      </c>
      <c r="K8" s="21" t="n">
        <v>33</v>
      </c>
      <c r="L8" s="23" t="str">
        <f aca="false">IF(J8&lt;K8,"Reorder Now","OK")</f>
        <v>Reorder Now</v>
      </c>
      <c r="M8" s="24" t="n">
        <f aca="false">IFERROR(I8/(H8+I8),0)</f>
        <v>0.153846153846154</v>
      </c>
      <c r="N8" s="25" t="n">
        <f aca="false">E8-D8</f>
        <v>29.55</v>
      </c>
      <c r="O8" s="25" t="n">
        <f aca="false">H8*E8</f>
        <v>15281.42</v>
      </c>
      <c r="P8" s="25" t="n">
        <f aca="false">I8*D8</f>
        <v>2364.74</v>
      </c>
      <c r="Q8" s="17" t="n">
        <f aca="false">RANK(O8,$O$2:$O$44,0)</f>
        <v>28</v>
      </c>
    </row>
    <row r="9" customFormat="false" ht="15" hidden="false" customHeight="false" outlineLevel="0" collapsed="false">
      <c r="A9" s="21" t="n">
        <v>8</v>
      </c>
      <c r="B9" s="21" t="s">
        <v>57</v>
      </c>
      <c r="C9" s="21" t="s">
        <v>58</v>
      </c>
      <c r="D9" s="22" t="n">
        <v>79.42</v>
      </c>
      <c r="E9" s="22" t="n">
        <v>92.44</v>
      </c>
      <c r="F9" s="21" t="n">
        <v>104</v>
      </c>
      <c r="G9" s="21" t="n">
        <v>59</v>
      </c>
      <c r="H9" s="21" t="n">
        <v>91</v>
      </c>
      <c r="I9" s="21" t="n">
        <v>9</v>
      </c>
      <c r="J9" s="17" t="n">
        <f aca="false">F9+G9-H9-I9</f>
        <v>63</v>
      </c>
      <c r="K9" s="21" t="n">
        <v>22</v>
      </c>
      <c r="L9" s="23" t="str">
        <f aca="false">IF(J9&lt;K9,"Reorder Now","OK")</f>
        <v>OK</v>
      </c>
      <c r="M9" s="24" t="n">
        <f aca="false">IFERROR(I9/(H9+I9),0)</f>
        <v>0.09</v>
      </c>
      <c r="N9" s="25" t="n">
        <f aca="false">E9-D9</f>
        <v>13.02</v>
      </c>
      <c r="O9" s="25" t="n">
        <f aca="false">H9*E9</f>
        <v>8412.04</v>
      </c>
      <c r="P9" s="25" t="n">
        <f aca="false">I9*D9</f>
        <v>714.78</v>
      </c>
      <c r="Q9" s="17" t="n">
        <f aca="false">RANK(O9,$O$2:$O$44,0)</f>
        <v>36</v>
      </c>
    </row>
    <row r="10" customFormat="false" ht="15" hidden="false" customHeight="false" outlineLevel="0" collapsed="false">
      <c r="A10" s="21" t="n">
        <v>9</v>
      </c>
      <c r="B10" s="21" t="s">
        <v>59</v>
      </c>
      <c r="C10" s="21" t="s">
        <v>58</v>
      </c>
      <c r="D10" s="22" t="n">
        <v>305.27</v>
      </c>
      <c r="E10" s="22" t="n">
        <v>374.27</v>
      </c>
      <c r="F10" s="21" t="n">
        <v>78</v>
      </c>
      <c r="G10" s="21" t="n">
        <v>111</v>
      </c>
      <c r="H10" s="21" t="n">
        <v>114</v>
      </c>
      <c r="I10" s="21" t="n">
        <v>11</v>
      </c>
      <c r="J10" s="17" t="n">
        <f aca="false">F10+G10-H10-I10</f>
        <v>64</v>
      </c>
      <c r="K10" s="21" t="n">
        <v>26</v>
      </c>
      <c r="L10" s="23" t="str">
        <f aca="false">IF(J10&lt;K10,"Reorder Now","OK")</f>
        <v>OK</v>
      </c>
      <c r="M10" s="24" t="n">
        <f aca="false">IFERROR(I10/(H10+I10),0)</f>
        <v>0.088</v>
      </c>
      <c r="N10" s="25" t="n">
        <f aca="false">E10-D10</f>
        <v>69</v>
      </c>
      <c r="O10" s="25" t="n">
        <f aca="false">H10*E10</f>
        <v>42666.78</v>
      </c>
      <c r="P10" s="25" t="n">
        <f aca="false">I10*D10</f>
        <v>3357.97</v>
      </c>
      <c r="Q10" s="17" t="n">
        <f aca="false">RANK(O10,$O$2:$O$44,0)</f>
        <v>8</v>
      </c>
    </row>
    <row r="11" customFormat="false" ht="15" hidden="false" customHeight="false" outlineLevel="0" collapsed="false">
      <c r="A11" s="21" t="n">
        <v>10</v>
      </c>
      <c r="B11" s="21" t="s">
        <v>60</v>
      </c>
      <c r="C11" s="21" t="s">
        <v>58</v>
      </c>
      <c r="D11" s="22" t="n">
        <v>134.02</v>
      </c>
      <c r="E11" s="22" t="n">
        <v>172.09</v>
      </c>
      <c r="F11" s="21" t="n">
        <v>109</v>
      </c>
      <c r="G11" s="21" t="n">
        <v>149</v>
      </c>
      <c r="H11" s="21" t="n">
        <v>138</v>
      </c>
      <c r="I11" s="21" t="n">
        <v>13</v>
      </c>
      <c r="J11" s="17" t="n">
        <f aca="false">F11+G11-H11-I11</f>
        <v>107</v>
      </c>
      <c r="K11" s="21" t="n">
        <v>34</v>
      </c>
      <c r="L11" s="23" t="str">
        <f aca="false">IF(J11&lt;K11,"Reorder Now","OK")</f>
        <v>OK</v>
      </c>
      <c r="M11" s="24" t="n">
        <f aca="false">IFERROR(I11/(H11+I11),0)</f>
        <v>0.0860927152317881</v>
      </c>
      <c r="N11" s="25" t="n">
        <f aca="false">E11-D11</f>
        <v>38.07</v>
      </c>
      <c r="O11" s="25" t="n">
        <f aca="false">H11*E11</f>
        <v>23748.42</v>
      </c>
      <c r="P11" s="25" t="n">
        <f aca="false">I11*D11</f>
        <v>1742.26</v>
      </c>
      <c r="Q11" s="17" t="n">
        <f aca="false">RANK(O11,$O$2:$O$44,0)</f>
        <v>22</v>
      </c>
    </row>
    <row r="12" customFormat="false" ht="15" hidden="false" customHeight="false" outlineLevel="0" collapsed="false">
      <c r="A12" s="21" t="n">
        <v>11</v>
      </c>
      <c r="B12" s="21" t="s">
        <v>61</v>
      </c>
      <c r="C12" s="21" t="s">
        <v>58</v>
      </c>
      <c r="D12" s="22" t="n">
        <v>227.72</v>
      </c>
      <c r="E12" s="22" t="n">
        <v>286.2</v>
      </c>
      <c r="F12" s="21" t="n">
        <v>51</v>
      </c>
      <c r="G12" s="21" t="n">
        <v>50</v>
      </c>
      <c r="H12" s="21" t="n">
        <v>67</v>
      </c>
      <c r="I12" s="21" t="n">
        <v>3</v>
      </c>
      <c r="J12" s="17" t="n">
        <f aca="false">F12+G12-H12-I12</f>
        <v>31</v>
      </c>
      <c r="K12" s="21" t="n">
        <v>35</v>
      </c>
      <c r="L12" s="23" t="str">
        <f aca="false">IF(J12&lt;K12,"Reorder Now","OK")</f>
        <v>Reorder Now</v>
      </c>
      <c r="M12" s="24" t="n">
        <f aca="false">IFERROR(I12/(H12+I12),0)</f>
        <v>0.0428571428571429</v>
      </c>
      <c r="N12" s="25" t="n">
        <f aca="false">E12-D12</f>
        <v>58.48</v>
      </c>
      <c r="O12" s="25" t="n">
        <f aca="false">H12*E12</f>
        <v>19175.4</v>
      </c>
      <c r="P12" s="25" t="n">
        <f aca="false">I12*D12</f>
        <v>683.16</v>
      </c>
      <c r="Q12" s="17" t="n">
        <f aca="false">RANK(O12,$O$2:$O$44,0)</f>
        <v>26</v>
      </c>
    </row>
    <row r="13" customFormat="false" ht="15" hidden="false" customHeight="false" outlineLevel="0" collapsed="false">
      <c r="A13" s="21" t="n">
        <v>12</v>
      </c>
      <c r="B13" s="21" t="s">
        <v>62</v>
      </c>
      <c r="C13" s="21" t="s">
        <v>58</v>
      </c>
      <c r="D13" s="22" t="n">
        <v>245.53</v>
      </c>
      <c r="E13" s="22" t="n">
        <v>293.14</v>
      </c>
      <c r="F13" s="21" t="n">
        <v>61</v>
      </c>
      <c r="G13" s="21" t="n">
        <v>137</v>
      </c>
      <c r="H13" s="21" t="n">
        <v>106</v>
      </c>
      <c r="I13" s="21" t="n">
        <v>11</v>
      </c>
      <c r="J13" s="17" t="n">
        <f aca="false">F13+G13-H13-I13</f>
        <v>81</v>
      </c>
      <c r="K13" s="21" t="n">
        <v>22</v>
      </c>
      <c r="L13" s="23" t="str">
        <f aca="false">IF(J13&lt;K13,"Reorder Now","OK")</f>
        <v>OK</v>
      </c>
      <c r="M13" s="24" t="n">
        <f aca="false">IFERROR(I13/(H13+I13),0)</f>
        <v>0.094017094017094</v>
      </c>
      <c r="N13" s="25" t="n">
        <f aca="false">E13-D13</f>
        <v>47.61</v>
      </c>
      <c r="O13" s="25" t="n">
        <f aca="false">H13*E13</f>
        <v>31072.84</v>
      </c>
      <c r="P13" s="25" t="n">
        <f aca="false">I13*D13</f>
        <v>2700.83</v>
      </c>
      <c r="Q13" s="17" t="n">
        <f aca="false">RANK(O13,$O$2:$O$44,0)</f>
        <v>14</v>
      </c>
    </row>
    <row r="14" customFormat="false" ht="15" hidden="false" customHeight="false" outlineLevel="0" collapsed="false">
      <c r="A14" s="21" t="n">
        <v>13</v>
      </c>
      <c r="B14" s="21" t="s">
        <v>63</v>
      </c>
      <c r="C14" s="21" t="s">
        <v>58</v>
      </c>
      <c r="D14" s="22" t="n">
        <v>290.3</v>
      </c>
      <c r="E14" s="22" t="n">
        <v>380.59</v>
      </c>
      <c r="F14" s="21" t="n">
        <v>71</v>
      </c>
      <c r="G14" s="21" t="n">
        <v>64</v>
      </c>
      <c r="H14" s="21" t="n">
        <v>125</v>
      </c>
      <c r="I14" s="21" t="n">
        <v>1</v>
      </c>
      <c r="J14" s="17" t="n">
        <f aca="false">F14+G14-H14-I14</f>
        <v>9</v>
      </c>
      <c r="K14" s="21" t="n">
        <v>33</v>
      </c>
      <c r="L14" s="23" t="str">
        <f aca="false">IF(J14&lt;K14,"Reorder Now","OK")</f>
        <v>Reorder Now</v>
      </c>
      <c r="M14" s="24" t="n">
        <f aca="false">IFERROR(I14/(H14+I14),0)</f>
        <v>0.00793650793650794</v>
      </c>
      <c r="N14" s="25" t="n">
        <f aca="false">E14-D14</f>
        <v>90.29</v>
      </c>
      <c r="O14" s="25" t="n">
        <f aca="false">H14*E14</f>
        <v>47573.75</v>
      </c>
      <c r="P14" s="25" t="n">
        <f aca="false">I14*D14</f>
        <v>290.3</v>
      </c>
      <c r="Q14" s="17" t="n">
        <f aca="false">RANK(O14,$O$2:$O$44,0)</f>
        <v>6</v>
      </c>
    </row>
    <row r="15" customFormat="false" ht="15" hidden="false" customHeight="false" outlineLevel="0" collapsed="false">
      <c r="A15" s="21" t="n">
        <v>14</v>
      </c>
      <c r="B15" s="21" t="s">
        <v>64</v>
      </c>
      <c r="C15" s="21" t="s">
        <v>58</v>
      </c>
      <c r="D15" s="22" t="n">
        <v>308.58</v>
      </c>
      <c r="E15" s="22" t="n">
        <v>374.29</v>
      </c>
      <c r="F15" s="21" t="n">
        <v>103</v>
      </c>
      <c r="G15" s="21" t="n">
        <v>93</v>
      </c>
      <c r="H15" s="21" t="n">
        <v>180</v>
      </c>
      <c r="I15" s="21" t="n">
        <v>6</v>
      </c>
      <c r="J15" s="17" t="n">
        <f aca="false">F15+G15-H15-I15</f>
        <v>10</v>
      </c>
      <c r="K15" s="21" t="n">
        <v>29</v>
      </c>
      <c r="L15" s="23" t="str">
        <f aca="false">IF(J15&lt;K15,"Reorder Now","OK")</f>
        <v>Reorder Now</v>
      </c>
      <c r="M15" s="24" t="n">
        <f aca="false">IFERROR(I15/(H15+I15),0)</f>
        <v>0.032258064516129</v>
      </c>
      <c r="N15" s="25" t="n">
        <f aca="false">E15-D15</f>
        <v>65.71</v>
      </c>
      <c r="O15" s="25" t="n">
        <f aca="false">H15*E15</f>
        <v>67372.2</v>
      </c>
      <c r="P15" s="25" t="n">
        <f aca="false">I15*D15</f>
        <v>1851.48</v>
      </c>
      <c r="Q15" s="17" t="n">
        <f aca="false">RANK(O15,$O$2:$O$44,0)</f>
        <v>1</v>
      </c>
    </row>
    <row r="16" customFormat="false" ht="15" hidden="false" customHeight="false" outlineLevel="0" collapsed="false">
      <c r="A16" s="21" t="n">
        <v>15</v>
      </c>
      <c r="B16" s="21" t="s">
        <v>65</v>
      </c>
      <c r="C16" s="21" t="s">
        <v>66</v>
      </c>
      <c r="D16" s="22" t="n">
        <v>62.86</v>
      </c>
      <c r="E16" s="22" t="n">
        <v>74.04</v>
      </c>
      <c r="F16" s="21" t="n">
        <v>115</v>
      </c>
      <c r="G16" s="21" t="n">
        <v>101</v>
      </c>
      <c r="H16" s="21" t="n">
        <v>182</v>
      </c>
      <c r="I16" s="21" t="n">
        <v>9</v>
      </c>
      <c r="J16" s="17" t="n">
        <f aca="false">F16+G16-H16-I16</f>
        <v>25</v>
      </c>
      <c r="K16" s="21" t="n">
        <v>28</v>
      </c>
      <c r="L16" s="23" t="str">
        <f aca="false">IF(J16&lt;K16,"Reorder Now","OK")</f>
        <v>Reorder Now</v>
      </c>
      <c r="M16" s="24" t="n">
        <f aca="false">IFERROR(I16/(H16+I16),0)</f>
        <v>0.0471204188481675</v>
      </c>
      <c r="N16" s="25" t="n">
        <f aca="false">E16-D16</f>
        <v>11.18</v>
      </c>
      <c r="O16" s="25" t="n">
        <f aca="false">H16*E16</f>
        <v>13475.28</v>
      </c>
      <c r="P16" s="25" t="n">
        <f aca="false">I16*D16</f>
        <v>565.74</v>
      </c>
      <c r="Q16" s="17" t="n">
        <f aca="false">RANK(O16,$O$2:$O$44,0)</f>
        <v>31</v>
      </c>
    </row>
    <row r="17" customFormat="false" ht="15" hidden="false" customHeight="false" outlineLevel="0" collapsed="false">
      <c r="A17" s="21" t="n">
        <v>16</v>
      </c>
      <c r="B17" s="21" t="s">
        <v>67</v>
      </c>
      <c r="C17" s="21" t="s">
        <v>66</v>
      </c>
      <c r="D17" s="22" t="n">
        <v>315.77</v>
      </c>
      <c r="E17" s="22" t="n">
        <v>388.36</v>
      </c>
      <c r="F17" s="21" t="n">
        <v>48</v>
      </c>
      <c r="G17" s="21" t="n">
        <v>47</v>
      </c>
      <c r="H17" s="21" t="n">
        <v>52</v>
      </c>
      <c r="I17" s="21" t="n">
        <v>3</v>
      </c>
      <c r="J17" s="17" t="n">
        <f aca="false">F17+G17-H17-I17</f>
        <v>40</v>
      </c>
      <c r="K17" s="21" t="n">
        <v>39</v>
      </c>
      <c r="L17" s="23" t="str">
        <f aca="false">IF(J17&lt;K17,"Reorder Now","OK")</f>
        <v>OK</v>
      </c>
      <c r="M17" s="24" t="n">
        <f aca="false">IFERROR(I17/(H17+I17),0)</f>
        <v>0.0545454545454545</v>
      </c>
      <c r="N17" s="25" t="n">
        <f aca="false">E17-D17</f>
        <v>72.59</v>
      </c>
      <c r="O17" s="25" t="n">
        <f aca="false">H17*E17</f>
        <v>20194.72</v>
      </c>
      <c r="P17" s="25" t="n">
        <f aca="false">I17*D17</f>
        <v>947.31</v>
      </c>
      <c r="Q17" s="17" t="n">
        <f aca="false">RANK(O17,$O$2:$O$44,0)</f>
        <v>25</v>
      </c>
    </row>
    <row r="18" customFormat="false" ht="15" hidden="false" customHeight="false" outlineLevel="0" collapsed="false">
      <c r="A18" s="21" t="n">
        <v>17</v>
      </c>
      <c r="B18" s="21" t="s">
        <v>68</v>
      </c>
      <c r="C18" s="21" t="s">
        <v>66</v>
      </c>
      <c r="D18" s="22" t="n">
        <v>30.78</v>
      </c>
      <c r="E18" s="22" t="n">
        <v>36.07</v>
      </c>
      <c r="F18" s="21" t="n">
        <v>100</v>
      </c>
      <c r="G18" s="21" t="n">
        <v>50</v>
      </c>
      <c r="H18" s="21" t="n">
        <v>102</v>
      </c>
      <c r="I18" s="21" t="n">
        <v>8</v>
      </c>
      <c r="J18" s="17" t="n">
        <f aca="false">F18+G18-H18-I18</f>
        <v>40</v>
      </c>
      <c r="K18" s="21" t="n">
        <v>34</v>
      </c>
      <c r="L18" s="23" t="str">
        <f aca="false">IF(J18&lt;K18,"Reorder Now","OK")</f>
        <v>OK</v>
      </c>
      <c r="M18" s="24" t="n">
        <f aca="false">IFERROR(I18/(H18+I18),0)</f>
        <v>0.0727272727272727</v>
      </c>
      <c r="N18" s="25" t="n">
        <f aca="false">E18-D18</f>
        <v>5.29</v>
      </c>
      <c r="O18" s="25" t="n">
        <f aca="false">H18*E18</f>
        <v>3679.14</v>
      </c>
      <c r="P18" s="25" t="n">
        <f aca="false">I18*D18</f>
        <v>246.24</v>
      </c>
      <c r="Q18" s="17" t="n">
        <f aca="false">RANK(O18,$O$2:$O$44,0)</f>
        <v>42</v>
      </c>
    </row>
    <row r="19" customFormat="false" ht="15" hidden="false" customHeight="false" outlineLevel="0" collapsed="false">
      <c r="A19" s="21" t="n">
        <v>18</v>
      </c>
      <c r="B19" s="21" t="s">
        <v>69</v>
      </c>
      <c r="C19" s="21" t="s">
        <v>66</v>
      </c>
      <c r="D19" s="22" t="n">
        <v>36.28</v>
      </c>
      <c r="E19" s="22" t="n">
        <v>44.49</v>
      </c>
      <c r="F19" s="21" t="n">
        <v>79</v>
      </c>
      <c r="G19" s="21" t="n">
        <v>97</v>
      </c>
      <c r="H19" s="21" t="n">
        <v>158</v>
      </c>
      <c r="I19" s="21" t="n">
        <v>4</v>
      </c>
      <c r="J19" s="17" t="n">
        <f aca="false">F19+G19-H19-I19</f>
        <v>14</v>
      </c>
      <c r="K19" s="21" t="n">
        <v>15</v>
      </c>
      <c r="L19" s="23" t="str">
        <f aca="false">IF(J19&lt;K19,"Reorder Now","OK")</f>
        <v>Reorder Now</v>
      </c>
      <c r="M19" s="24" t="n">
        <f aca="false">IFERROR(I19/(H19+I19),0)</f>
        <v>0.0246913580246914</v>
      </c>
      <c r="N19" s="25" t="n">
        <f aca="false">E19-D19</f>
        <v>8.21</v>
      </c>
      <c r="O19" s="25" t="n">
        <f aca="false">H19*E19</f>
        <v>7029.42</v>
      </c>
      <c r="P19" s="25" t="n">
        <f aca="false">I19*D19</f>
        <v>145.12</v>
      </c>
      <c r="Q19" s="17" t="n">
        <f aca="false">RANK(O19,$O$2:$O$44,0)</f>
        <v>37</v>
      </c>
    </row>
    <row r="20" customFormat="false" ht="15" hidden="false" customHeight="false" outlineLevel="0" collapsed="false">
      <c r="A20" s="21" t="n">
        <v>19</v>
      </c>
      <c r="B20" s="21" t="s">
        <v>70</v>
      </c>
      <c r="C20" s="21" t="s">
        <v>66</v>
      </c>
      <c r="D20" s="22" t="n">
        <v>242.89</v>
      </c>
      <c r="E20" s="22" t="n">
        <v>284.89</v>
      </c>
      <c r="F20" s="21" t="n">
        <v>88</v>
      </c>
      <c r="G20" s="21" t="n">
        <v>126</v>
      </c>
      <c r="H20" s="21" t="n">
        <v>189</v>
      </c>
      <c r="I20" s="21" t="n">
        <v>5</v>
      </c>
      <c r="J20" s="17" t="n">
        <f aca="false">F20+G20-H20-I20</f>
        <v>20</v>
      </c>
      <c r="K20" s="21" t="n">
        <v>25</v>
      </c>
      <c r="L20" s="23" t="str">
        <f aca="false">IF(J20&lt;K20,"Reorder Now","OK")</f>
        <v>Reorder Now</v>
      </c>
      <c r="M20" s="24" t="n">
        <f aca="false">IFERROR(I20/(H20+I20),0)</f>
        <v>0.0257731958762887</v>
      </c>
      <c r="N20" s="25" t="n">
        <f aca="false">E20-D20</f>
        <v>42</v>
      </c>
      <c r="O20" s="25" t="n">
        <f aca="false">H20*E20</f>
        <v>53844.21</v>
      </c>
      <c r="P20" s="25" t="n">
        <f aca="false">I20*D20</f>
        <v>1214.45</v>
      </c>
      <c r="Q20" s="17" t="n">
        <f aca="false">RANK(O20,$O$2:$O$44,0)</f>
        <v>3</v>
      </c>
    </row>
    <row r="21" customFormat="false" ht="15" hidden="false" customHeight="false" outlineLevel="0" collapsed="false">
      <c r="A21" s="21" t="n">
        <v>20</v>
      </c>
      <c r="B21" s="21" t="s">
        <v>71</v>
      </c>
      <c r="C21" s="21" t="s">
        <v>66</v>
      </c>
      <c r="D21" s="22" t="n">
        <v>52.37</v>
      </c>
      <c r="E21" s="22" t="n">
        <v>64.78</v>
      </c>
      <c r="F21" s="21" t="n">
        <v>78</v>
      </c>
      <c r="G21" s="21" t="n">
        <v>30</v>
      </c>
      <c r="H21" s="21" t="n">
        <v>70</v>
      </c>
      <c r="I21" s="21" t="n">
        <v>7</v>
      </c>
      <c r="J21" s="17" t="n">
        <f aca="false">F21+G21-H21-I21</f>
        <v>31</v>
      </c>
      <c r="K21" s="21" t="n">
        <v>31</v>
      </c>
      <c r="L21" s="23" t="str">
        <f aca="false">IF(J21&lt;K21,"Reorder Now","OK")</f>
        <v>OK</v>
      </c>
      <c r="M21" s="24" t="n">
        <f aca="false">IFERROR(I21/(H21+I21),0)</f>
        <v>0.0909090909090909</v>
      </c>
      <c r="N21" s="25" t="n">
        <f aca="false">E21-D21</f>
        <v>12.41</v>
      </c>
      <c r="O21" s="25" t="n">
        <f aca="false">H21*E21</f>
        <v>4534.6</v>
      </c>
      <c r="P21" s="25" t="n">
        <f aca="false">I21*D21</f>
        <v>366.59</v>
      </c>
      <c r="Q21" s="17" t="n">
        <f aca="false">RANK(O21,$O$2:$O$44,0)</f>
        <v>40</v>
      </c>
    </row>
    <row r="22" customFormat="false" ht="15" hidden="false" customHeight="false" outlineLevel="0" collapsed="false">
      <c r="A22" s="21" t="n">
        <v>21</v>
      </c>
      <c r="B22" s="21" t="s">
        <v>72</v>
      </c>
      <c r="C22" s="21" t="s">
        <v>66</v>
      </c>
      <c r="D22" s="22" t="n">
        <v>270.26</v>
      </c>
      <c r="E22" s="22" t="n">
        <v>338.24</v>
      </c>
      <c r="F22" s="21" t="n">
        <v>33</v>
      </c>
      <c r="G22" s="21" t="n">
        <v>141</v>
      </c>
      <c r="H22" s="21" t="n">
        <v>151</v>
      </c>
      <c r="I22" s="21" t="n">
        <v>8</v>
      </c>
      <c r="J22" s="17" t="n">
        <f aca="false">F22+G22-H22-I22</f>
        <v>15</v>
      </c>
      <c r="K22" s="21" t="n">
        <v>34</v>
      </c>
      <c r="L22" s="23" t="str">
        <f aca="false">IF(J22&lt;K22,"Reorder Now","OK")</f>
        <v>Reorder Now</v>
      </c>
      <c r="M22" s="24" t="n">
        <f aca="false">IFERROR(I22/(H22+I22),0)</f>
        <v>0.050314465408805</v>
      </c>
      <c r="N22" s="25" t="n">
        <f aca="false">E22-D22</f>
        <v>67.98</v>
      </c>
      <c r="O22" s="25" t="n">
        <f aca="false">H22*E22</f>
        <v>51074.24</v>
      </c>
      <c r="P22" s="25" t="n">
        <f aca="false">I22*D22</f>
        <v>2162.08</v>
      </c>
      <c r="Q22" s="17" t="n">
        <f aca="false">RANK(O22,$O$2:$O$44,0)</f>
        <v>4</v>
      </c>
    </row>
    <row r="23" customFormat="false" ht="15" hidden="false" customHeight="false" outlineLevel="0" collapsed="false">
      <c r="A23" s="21" t="n">
        <v>22</v>
      </c>
      <c r="B23" s="21" t="s">
        <v>73</v>
      </c>
      <c r="C23" s="21" t="s">
        <v>74</v>
      </c>
      <c r="D23" s="22" t="n">
        <v>81.64</v>
      </c>
      <c r="E23" s="22" t="n">
        <v>99.99</v>
      </c>
      <c r="F23" s="21" t="n">
        <v>40</v>
      </c>
      <c r="G23" s="21" t="n">
        <v>99</v>
      </c>
      <c r="H23" s="21" t="n">
        <v>102</v>
      </c>
      <c r="I23" s="21" t="n">
        <v>9</v>
      </c>
      <c r="J23" s="17" t="n">
        <f aca="false">F23+G23-H23-I23</f>
        <v>28</v>
      </c>
      <c r="K23" s="21" t="n">
        <v>15</v>
      </c>
      <c r="L23" s="23" t="str">
        <f aca="false">IF(J23&lt;K23,"Reorder Now","OK")</f>
        <v>OK</v>
      </c>
      <c r="M23" s="24" t="n">
        <f aca="false">IFERROR(I23/(H23+I23),0)</f>
        <v>0.0810810810810811</v>
      </c>
      <c r="N23" s="25" t="n">
        <f aca="false">E23-D23</f>
        <v>18.35</v>
      </c>
      <c r="O23" s="25" t="n">
        <f aca="false">H23*E23</f>
        <v>10198.98</v>
      </c>
      <c r="P23" s="25" t="n">
        <f aca="false">I23*D23</f>
        <v>734.76</v>
      </c>
      <c r="Q23" s="17" t="n">
        <f aca="false">RANK(O23,$O$2:$O$44,0)</f>
        <v>35</v>
      </c>
    </row>
    <row r="24" customFormat="false" ht="15" hidden="false" customHeight="false" outlineLevel="0" collapsed="false">
      <c r="A24" s="21" t="n">
        <v>23</v>
      </c>
      <c r="B24" s="21" t="s">
        <v>75</v>
      </c>
      <c r="C24" s="21" t="s">
        <v>74</v>
      </c>
      <c r="D24" s="22" t="n">
        <v>215.65</v>
      </c>
      <c r="E24" s="22" t="n">
        <v>269.07</v>
      </c>
      <c r="F24" s="21" t="n">
        <v>34</v>
      </c>
      <c r="G24" s="21" t="n">
        <v>148</v>
      </c>
      <c r="H24" s="21" t="n">
        <v>130</v>
      </c>
      <c r="I24" s="21" t="n">
        <v>5</v>
      </c>
      <c r="J24" s="17" t="n">
        <f aca="false">F24+G24-H24-I24</f>
        <v>47</v>
      </c>
      <c r="K24" s="21" t="n">
        <v>22</v>
      </c>
      <c r="L24" s="23" t="str">
        <f aca="false">IF(J24&lt;K24,"Reorder Now","OK")</f>
        <v>OK</v>
      </c>
      <c r="M24" s="24" t="n">
        <f aca="false">IFERROR(I24/(H24+I24),0)</f>
        <v>0.037037037037037</v>
      </c>
      <c r="N24" s="25" t="n">
        <f aca="false">E24-D24</f>
        <v>53.42</v>
      </c>
      <c r="O24" s="25" t="n">
        <f aca="false">H24*E24</f>
        <v>34979.1</v>
      </c>
      <c r="P24" s="25" t="n">
        <f aca="false">I24*D24</f>
        <v>1078.25</v>
      </c>
      <c r="Q24" s="17" t="n">
        <f aca="false">RANK(O24,$O$2:$O$44,0)</f>
        <v>10</v>
      </c>
    </row>
    <row r="25" customFormat="false" ht="15" hidden="false" customHeight="false" outlineLevel="0" collapsed="false">
      <c r="A25" s="21" t="n">
        <v>24</v>
      </c>
      <c r="B25" s="21" t="s">
        <v>76</v>
      </c>
      <c r="C25" s="21" t="s">
        <v>74</v>
      </c>
      <c r="D25" s="22" t="n">
        <v>34.4</v>
      </c>
      <c r="E25" s="22" t="n">
        <v>45.6</v>
      </c>
      <c r="F25" s="21" t="n">
        <v>30</v>
      </c>
      <c r="G25" s="21" t="n">
        <v>40</v>
      </c>
      <c r="H25" s="21" t="n">
        <v>61</v>
      </c>
      <c r="I25" s="21" t="n">
        <v>3</v>
      </c>
      <c r="J25" s="17" t="n">
        <f aca="false">F25+G25-H25-I25</f>
        <v>6</v>
      </c>
      <c r="K25" s="21" t="n">
        <v>17</v>
      </c>
      <c r="L25" s="23" t="str">
        <f aca="false">IF(J25&lt;K25,"Reorder Now","OK")</f>
        <v>Reorder Now</v>
      </c>
      <c r="M25" s="24" t="n">
        <f aca="false">IFERROR(I25/(H25+I25),0)</f>
        <v>0.046875</v>
      </c>
      <c r="N25" s="25" t="n">
        <f aca="false">E25-D25</f>
        <v>11.2</v>
      </c>
      <c r="O25" s="25" t="n">
        <f aca="false">H25*E25</f>
        <v>2781.6</v>
      </c>
      <c r="P25" s="25" t="n">
        <f aca="false">I25*D25</f>
        <v>103.2</v>
      </c>
      <c r="Q25" s="17" t="n">
        <f aca="false">RANK(O25,$O$2:$O$44,0)</f>
        <v>43</v>
      </c>
    </row>
    <row r="26" customFormat="false" ht="15" hidden="false" customHeight="false" outlineLevel="0" collapsed="false">
      <c r="A26" s="21" t="n">
        <v>25</v>
      </c>
      <c r="B26" s="21" t="s">
        <v>77</v>
      </c>
      <c r="C26" s="21" t="s">
        <v>74</v>
      </c>
      <c r="D26" s="22" t="n">
        <v>342.62</v>
      </c>
      <c r="E26" s="22" t="n">
        <v>430.52</v>
      </c>
      <c r="F26" s="21" t="n">
        <v>36</v>
      </c>
      <c r="G26" s="21" t="n">
        <v>46</v>
      </c>
      <c r="H26" s="21" t="n">
        <v>51</v>
      </c>
      <c r="I26" s="21" t="n">
        <v>4</v>
      </c>
      <c r="J26" s="17" t="n">
        <f aca="false">F26+G26-H26-I26</f>
        <v>27</v>
      </c>
      <c r="K26" s="21" t="n">
        <v>23</v>
      </c>
      <c r="L26" s="23" t="str">
        <f aca="false">IF(J26&lt;K26,"Reorder Now","OK")</f>
        <v>OK</v>
      </c>
      <c r="M26" s="24" t="n">
        <f aca="false">IFERROR(I26/(H26+I26),0)</f>
        <v>0.0727272727272727</v>
      </c>
      <c r="N26" s="25" t="n">
        <f aca="false">E26-D26</f>
        <v>87.9</v>
      </c>
      <c r="O26" s="25" t="n">
        <f aca="false">H26*E26</f>
        <v>21956.52</v>
      </c>
      <c r="P26" s="25" t="n">
        <f aca="false">I26*D26</f>
        <v>1370.48</v>
      </c>
      <c r="Q26" s="17" t="n">
        <f aca="false">RANK(O26,$O$2:$O$44,0)</f>
        <v>24</v>
      </c>
    </row>
    <row r="27" customFormat="false" ht="15" hidden="false" customHeight="false" outlineLevel="0" collapsed="false">
      <c r="A27" s="21" t="n">
        <v>26</v>
      </c>
      <c r="B27" s="21" t="s">
        <v>78</v>
      </c>
      <c r="C27" s="21" t="s">
        <v>74</v>
      </c>
      <c r="D27" s="22" t="n">
        <v>191.77</v>
      </c>
      <c r="E27" s="22" t="n">
        <v>243.8</v>
      </c>
      <c r="F27" s="21" t="n">
        <v>47</v>
      </c>
      <c r="G27" s="21" t="n">
        <v>148</v>
      </c>
      <c r="H27" s="21" t="n">
        <v>122</v>
      </c>
      <c r="I27" s="21" t="n">
        <v>8</v>
      </c>
      <c r="J27" s="17" t="n">
        <f aca="false">F27+G27-H27-I27</f>
        <v>65</v>
      </c>
      <c r="K27" s="21" t="n">
        <v>37</v>
      </c>
      <c r="L27" s="23" t="str">
        <f aca="false">IF(J27&lt;K27,"Reorder Now","OK")</f>
        <v>OK</v>
      </c>
      <c r="M27" s="24" t="n">
        <f aca="false">IFERROR(I27/(H27+I27),0)</f>
        <v>0.0615384615384615</v>
      </c>
      <c r="N27" s="25" t="n">
        <f aca="false">E27-D27</f>
        <v>52.03</v>
      </c>
      <c r="O27" s="25" t="n">
        <f aca="false">H27*E27</f>
        <v>29743.6</v>
      </c>
      <c r="P27" s="25" t="n">
        <f aca="false">I27*D27</f>
        <v>1534.16</v>
      </c>
      <c r="Q27" s="17" t="n">
        <f aca="false">RANK(O27,$O$2:$O$44,0)</f>
        <v>15</v>
      </c>
    </row>
    <row r="28" customFormat="false" ht="15" hidden="false" customHeight="false" outlineLevel="0" collapsed="false">
      <c r="A28" s="21" t="n">
        <v>27</v>
      </c>
      <c r="B28" s="21" t="s">
        <v>79</v>
      </c>
      <c r="C28" s="21" t="s">
        <v>74</v>
      </c>
      <c r="D28" s="22" t="n">
        <v>119.42</v>
      </c>
      <c r="E28" s="22" t="n">
        <v>161.1</v>
      </c>
      <c r="F28" s="21" t="n">
        <v>103</v>
      </c>
      <c r="G28" s="21" t="n">
        <v>77</v>
      </c>
      <c r="H28" s="21" t="n">
        <v>156</v>
      </c>
      <c r="I28" s="21" t="n">
        <v>6</v>
      </c>
      <c r="J28" s="17" t="n">
        <f aca="false">F28+G28-H28-I28</f>
        <v>18</v>
      </c>
      <c r="K28" s="21" t="n">
        <v>29</v>
      </c>
      <c r="L28" s="23" t="str">
        <f aca="false">IF(J28&lt;K28,"Reorder Now","OK")</f>
        <v>Reorder Now</v>
      </c>
      <c r="M28" s="24" t="n">
        <f aca="false">IFERROR(I28/(H28+I28),0)</f>
        <v>0.037037037037037</v>
      </c>
      <c r="N28" s="25" t="n">
        <f aca="false">E28-D28</f>
        <v>41.68</v>
      </c>
      <c r="O28" s="25" t="n">
        <f aca="false">H28*E28</f>
        <v>25131.6</v>
      </c>
      <c r="P28" s="25" t="n">
        <f aca="false">I28*D28</f>
        <v>716.52</v>
      </c>
      <c r="Q28" s="17" t="n">
        <f aca="false">RANK(O28,$O$2:$O$44,0)</f>
        <v>20</v>
      </c>
    </row>
    <row r="29" customFormat="false" ht="15" hidden="false" customHeight="false" outlineLevel="0" collapsed="false">
      <c r="A29" s="21" t="n">
        <v>28</v>
      </c>
      <c r="B29" s="21" t="s">
        <v>80</v>
      </c>
      <c r="C29" s="21" t="s">
        <v>74</v>
      </c>
      <c r="D29" s="22" t="n">
        <v>55.54</v>
      </c>
      <c r="E29" s="22" t="n">
        <v>66.37</v>
      </c>
      <c r="F29" s="21" t="n">
        <v>63</v>
      </c>
      <c r="G29" s="21" t="n">
        <v>32</v>
      </c>
      <c r="H29" s="21" t="n">
        <v>61</v>
      </c>
      <c r="I29" s="21" t="n">
        <v>4</v>
      </c>
      <c r="J29" s="17" t="n">
        <f aca="false">F29+G29-H29-I29</f>
        <v>30</v>
      </c>
      <c r="K29" s="21" t="n">
        <v>33</v>
      </c>
      <c r="L29" s="23" t="str">
        <f aca="false">IF(J29&lt;K29,"Reorder Now","OK")</f>
        <v>Reorder Now</v>
      </c>
      <c r="M29" s="24" t="n">
        <f aca="false">IFERROR(I29/(H29+I29),0)</f>
        <v>0.0615384615384615</v>
      </c>
      <c r="N29" s="25" t="n">
        <f aca="false">E29-D29</f>
        <v>10.83</v>
      </c>
      <c r="O29" s="25" t="n">
        <f aca="false">H29*E29</f>
        <v>4048.57</v>
      </c>
      <c r="P29" s="25" t="n">
        <f aca="false">I29*D29</f>
        <v>222.16</v>
      </c>
      <c r="Q29" s="17" t="n">
        <f aca="false">RANK(O29,$O$2:$O$44,0)</f>
        <v>41</v>
      </c>
    </row>
    <row r="30" customFormat="false" ht="15" hidden="false" customHeight="false" outlineLevel="0" collapsed="false">
      <c r="A30" s="21" t="n">
        <v>29</v>
      </c>
      <c r="B30" s="21" t="s">
        <v>81</v>
      </c>
      <c r="C30" s="21" t="s">
        <v>74</v>
      </c>
      <c r="D30" s="22" t="n">
        <v>88.77</v>
      </c>
      <c r="E30" s="22" t="n">
        <v>103.35</v>
      </c>
      <c r="F30" s="21" t="n">
        <v>100</v>
      </c>
      <c r="G30" s="21" t="n">
        <v>37</v>
      </c>
      <c r="H30" s="21" t="n">
        <v>125</v>
      </c>
      <c r="I30" s="21" t="n">
        <v>3</v>
      </c>
      <c r="J30" s="17" t="n">
        <f aca="false">F30+G30-H30-I30</f>
        <v>9</v>
      </c>
      <c r="K30" s="21" t="n">
        <v>16</v>
      </c>
      <c r="L30" s="23" t="str">
        <f aca="false">IF(J30&lt;K30,"Reorder Now","OK")</f>
        <v>Reorder Now</v>
      </c>
      <c r="M30" s="24" t="n">
        <f aca="false">IFERROR(I30/(H30+I30),0)</f>
        <v>0.0234375</v>
      </c>
      <c r="N30" s="25" t="n">
        <f aca="false">E30-D30</f>
        <v>14.58</v>
      </c>
      <c r="O30" s="25" t="n">
        <f aca="false">H30*E30</f>
        <v>12918.75</v>
      </c>
      <c r="P30" s="25" t="n">
        <f aca="false">I30*D30</f>
        <v>266.31</v>
      </c>
      <c r="Q30" s="17" t="n">
        <f aca="false">RANK(O30,$O$2:$O$44,0)</f>
        <v>32</v>
      </c>
    </row>
    <row r="31" customFormat="false" ht="15" hidden="false" customHeight="false" outlineLevel="0" collapsed="false">
      <c r="A31" s="21" t="n">
        <v>30</v>
      </c>
      <c r="B31" s="21" t="s">
        <v>82</v>
      </c>
      <c r="C31" s="21" t="s">
        <v>83</v>
      </c>
      <c r="D31" s="22" t="n">
        <v>302.98</v>
      </c>
      <c r="E31" s="22" t="n">
        <v>352.72</v>
      </c>
      <c r="F31" s="21" t="n">
        <v>50</v>
      </c>
      <c r="G31" s="21" t="n">
        <v>65</v>
      </c>
      <c r="H31" s="21" t="n">
        <v>70</v>
      </c>
      <c r="I31" s="21" t="n">
        <v>5</v>
      </c>
      <c r="J31" s="17" t="n">
        <f aca="false">F31+G31-H31-I31</f>
        <v>40</v>
      </c>
      <c r="K31" s="21" t="n">
        <v>32</v>
      </c>
      <c r="L31" s="23" t="str">
        <f aca="false">IF(J31&lt;K31,"Reorder Now","OK")</f>
        <v>OK</v>
      </c>
      <c r="M31" s="24" t="n">
        <f aca="false">IFERROR(I31/(H31+I31),0)</f>
        <v>0.0666666666666667</v>
      </c>
      <c r="N31" s="25" t="n">
        <f aca="false">E31-D31</f>
        <v>49.74</v>
      </c>
      <c r="O31" s="25" t="n">
        <f aca="false">H31*E31</f>
        <v>24690.4</v>
      </c>
      <c r="P31" s="25" t="n">
        <f aca="false">I31*D31</f>
        <v>1514.9</v>
      </c>
      <c r="Q31" s="17" t="n">
        <f aca="false">RANK(O31,$O$2:$O$44,0)</f>
        <v>21</v>
      </c>
    </row>
    <row r="32" customFormat="false" ht="15" hidden="false" customHeight="false" outlineLevel="0" collapsed="false">
      <c r="A32" s="21" t="n">
        <v>31</v>
      </c>
      <c r="B32" s="21" t="s">
        <v>84</v>
      </c>
      <c r="C32" s="21" t="s">
        <v>83</v>
      </c>
      <c r="D32" s="22" t="n">
        <v>59.32</v>
      </c>
      <c r="E32" s="22" t="n">
        <v>79.32</v>
      </c>
      <c r="F32" s="21" t="n">
        <v>93</v>
      </c>
      <c r="G32" s="21" t="n">
        <v>103</v>
      </c>
      <c r="H32" s="21" t="n">
        <v>158</v>
      </c>
      <c r="I32" s="21" t="n">
        <v>7</v>
      </c>
      <c r="J32" s="17" t="n">
        <f aca="false">F32+G32-H32-I32</f>
        <v>31</v>
      </c>
      <c r="K32" s="21" t="n">
        <v>40</v>
      </c>
      <c r="L32" s="23" t="str">
        <f aca="false">IF(J32&lt;K32,"Reorder Now","OK")</f>
        <v>Reorder Now</v>
      </c>
      <c r="M32" s="24" t="n">
        <f aca="false">IFERROR(I32/(H32+I32),0)</f>
        <v>0.0424242424242424</v>
      </c>
      <c r="N32" s="25" t="n">
        <f aca="false">E32-D32</f>
        <v>20</v>
      </c>
      <c r="O32" s="25" t="n">
        <f aca="false">H32*E32</f>
        <v>12532.56</v>
      </c>
      <c r="P32" s="25" t="n">
        <f aca="false">I32*D32</f>
        <v>415.24</v>
      </c>
      <c r="Q32" s="17" t="n">
        <f aca="false">RANK(O32,$O$2:$O$44,0)</f>
        <v>34</v>
      </c>
    </row>
    <row r="33" customFormat="false" ht="15" hidden="false" customHeight="false" outlineLevel="0" collapsed="false">
      <c r="A33" s="21" t="n">
        <v>32</v>
      </c>
      <c r="B33" s="21" t="s">
        <v>85</v>
      </c>
      <c r="C33" s="21" t="s">
        <v>83</v>
      </c>
      <c r="D33" s="22" t="n">
        <v>151.37</v>
      </c>
      <c r="E33" s="22" t="n">
        <v>176.93</v>
      </c>
      <c r="F33" s="21" t="n">
        <v>104</v>
      </c>
      <c r="G33" s="21" t="n">
        <v>85</v>
      </c>
      <c r="H33" s="21" t="n">
        <v>146</v>
      </c>
      <c r="I33" s="21" t="n">
        <v>5</v>
      </c>
      <c r="J33" s="17" t="n">
        <f aca="false">F33+G33-H33-I33</f>
        <v>38</v>
      </c>
      <c r="K33" s="21" t="n">
        <v>29</v>
      </c>
      <c r="L33" s="23" t="str">
        <f aca="false">IF(J33&lt;K33,"Reorder Now","OK")</f>
        <v>OK</v>
      </c>
      <c r="M33" s="24" t="n">
        <f aca="false">IFERROR(I33/(H33+I33),0)</f>
        <v>0.033112582781457</v>
      </c>
      <c r="N33" s="25" t="n">
        <f aca="false">E33-D33</f>
        <v>25.56</v>
      </c>
      <c r="O33" s="25" t="n">
        <f aca="false">H33*E33</f>
        <v>25831.78</v>
      </c>
      <c r="P33" s="25" t="n">
        <f aca="false">I33*D33</f>
        <v>756.85</v>
      </c>
      <c r="Q33" s="17" t="n">
        <f aca="false">RANK(O33,$O$2:$O$44,0)</f>
        <v>19</v>
      </c>
    </row>
    <row r="34" customFormat="false" ht="15" hidden="false" customHeight="false" outlineLevel="0" collapsed="false">
      <c r="A34" s="21" t="n">
        <v>33</v>
      </c>
      <c r="B34" s="21" t="s">
        <v>86</v>
      </c>
      <c r="C34" s="21" t="s">
        <v>83</v>
      </c>
      <c r="D34" s="22" t="n">
        <v>304.39</v>
      </c>
      <c r="E34" s="22" t="n">
        <v>353.35</v>
      </c>
      <c r="F34" s="21" t="n">
        <v>103</v>
      </c>
      <c r="G34" s="21" t="n">
        <v>112</v>
      </c>
      <c r="H34" s="21" t="n">
        <v>158</v>
      </c>
      <c r="I34" s="21" t="n">
        <v>3</v>
      </c>
      <c r="J34" s="17" t="n">
        <f aca="false">F34+G34-H34-I34</f>
        <v>54</v>
      </c>
      <c r="K34" s="21" t="n">
        <v>38</v>
      </c>
      <c r="L34" s="23" t="str">
        <f aca="false">IF(J34&lt;K34,"Reorder Now","OK")</f>
        <v>OK</v>
      </c>
      <c r="M34" s="24" t="n">
        <f aca="false">IFERROR(I34/(H34+I34),0)</f>
        <v>0.0186335403726708</v>
      </c>
      <c r="N34" s="25" t="n">
        <f aca="false">E34-D34</f>
        <v>48.96</v>
      </c>
      <c r="O34" s="25" t="n">
        <f aca="false">H34*E34</f>
        <v>55829.3</v>
      </c>
      <c r="P34" s="25" t="n">
        <f aca="false">I34*D34</f>
        <v>913.17</v>
      </c>
      <c r="Q34" s="17" t="n">
        <f aca="false">RANK(O34,$O$2:$O$44,0)</f>
        <v>2</v>
      </c>
    </row>
    <row r="35" customFormat="false" ht="15" hidden="false" customHeight="false" outlineLevel="0" collapsed="false">
      <c r="A35" s="21" t="n">
        <v>34</v>
      </c>
      <c r="B35" s="21" t="s">
        <v>87</v>
      </c>
      <c r="C35" s="21" t="s">
        <v>83</v>
      </c>
      <c r="D35" s="22" t="n">
        <v>128.67</v>
      </c>
      <c r="E35" s="22" t="n">
        <v>170.14</v>
      </c>
      <c r="F35" s="21" t="n">
        <v>51</v>
      </c>
      <c r="G35" s="21" t="n">
        <v>54</v>
      </c>
      <c r="H35" s="21" t="n">
        <v>80</v>
      </c>
      <c r="I35" s="21" t="n">
        <v>2</v>
      </c>
      <c r="J35" s="17" t="n">
        <f aca="false">F35+G35-H35-I35</f>
        <v>23</v>
      </c>
      <c r="K35" s="21" t="n">
        <v>19</v>
      </c>
      <c r="L35" s="23" t="str">
        <f aca="false">IF(J35&lt;K35,"Reorder Now","OK")</f>
        <v>OK</v>
      </c>
      <c r="M35" s="24" t="n">
        <f aca="false">IFERROR(I35/(H35+I35),0)</f>
        <v>0.024390243902439</v>
      </c>
      <c r="N35" s="25" t="n">
        <f aca="false">E35-D35</f>
        <v>41.47</v>
      </c>
      <c r="O35" s="25" t="n">
        <f aca="false">H35*E35</f>
        <v>13611.2</v>
      </c>
      <c r="P35" s="25" t="n">
        <f aca="false">I35*D35</f>
        <v>257.34</v>
      </c>
      <c r="Q35" s="17" t="n">
        <f aca="false">RANK(O35,$O$2:$O$44,0)</f>
        <v>30</v>
      </c>
    </row>
    <row r="36" customFormat="false" ht="15" hidden="false" customHeight="false" outlineLevel="0" collapsed="false">
      <c r="A36" s="21" t="n">
        <v>35</v>
      </c>
      <c r="B36" s="21" t="s">
        <v>88</v>
      </c>
      <c r="C36" s="21" t="s">
        <v>83</v>
      </c>
      <c r="D36" s="22" t="n">
        <v>156.33</v>
      </c>
      <c r="E36" s="22" t="n">
        <v>188.49</v>
      </c>
      <c r="F36" s="21" t="n">
        <v>51</v>
      </c>
      <c r="G36" s="21" t="n">
        <v>141</v>
      </c>
      <c r="H36" s="21" t="n">
        <v>152</v>
      </c>
      <c r="I36" s="21" t="n">
        <v>12</v>
      </c>
      <c r="J36" s="17" t="n">
        <f aca="false">F36+G36-H36-I36</f>
        <v>28</v>
      </c>
      <c r="K36" s="21" t="n">
        <v>40</v>
      </c>
      <c r="L36" s="23" t="str">
        <f aca="false">IF(J36&lt;K36,"Reorder Now","OK")</f>
        <v>Reorder Now</v>
      </c>
      <c r="M36" s="24" t="n">
        <f aca="false">IFERROR(I36/(H36+I36),0)</f>
        <v>0.0731707317073171</v>
      </c>
      <c r="N36" s="25" t="n">
        <f aca="false">E36-D36</f>
        <v>32.16</v>
      </c>
      <c r="O36" s="25" t="n">
        <f aca="false">H36*E36</f>
        <v>28650.48</v>
      </c>
      <c r="P36" s="25" t="n">
        <f aca="false">I36*D36</f>
        <v>1875.96</v>
      </c>
      <c r="Q36" s="17" t="n">
        <f aca="false">RANK(O36,$O$2:$O$44,0)</f>
        <v>17</v>
      </c>
    </row>
    <row r="37" customFormat="false" ht="15" hidden="false" customHeight="false" outlineLevel="0" collapsed="false">
      <c r="A37" s="21" t="n">
        <v>36</v>
      </c>
      <c r="B37" s="21" t="s">
        <v>89</v>
      </c>
      <c r="C37" s="21" t="s">
        <v>83</v>
      </c>
      <c r="D37" s="22" t="n">
        <v>303.55</v>
      </c>
      <c r="E37" s="22" t="n">
        <v>382.49</v>
      </c>
      <c r="F37" s="21" t="n">
        <v>26</v>
      </c>
      <c r="G37" s="21" t="n">
        <v>113</v>
      </c>
      <c r="H37" s="21" t="n">
        <v>122</v>
      </c>
      <c r="I37" s="21" t="n">
        <v>9</v>
      </c>
      <c r="J37" s="17" t="n">
        <f aca="false">F37+G37-H37-I37</f>
        <v>8</v>
      </c>
      <c r="K37" s="21" t="n">
        <v>15</v>
      </c>
      <c r="L37" s="23" t="str">
        <f aca="false">IF(J37&lt;K37,"Reorder Now","OK")</f>
        <v>Reorder Now</v>
      </c>
      <c r="M37" s="24" t="n">
        <f aca="false">IFERROR(I37/(H37+I37),0)</f>
        <v>0.0687022900763359</v>
      </c>
      <c r="N37" s="25" t="n">
        <f aca="false">E37-D37</f>
        <v>78.94</v>
      </c>
      <c r="O37" s="25" t="n">
        <f aca="false">H37*E37</f>
        <v>46663.78</v>
      </c>
      <c r="P37" s="25" t="n">
        <f aca="false">I37*D37</f>
        <v>2731.95</v>
      </c>
      <c r="Q37" s="17" t="n">
        <f aca="false">RANK(O37,$O$2:$O$44,0)</f>
        <v>7</v>
      </c>
    </row>
    <row r="38" customFormat="false" ht="15" hidden="false" customHeight="false" outlineLevel="0" collapsed="false">
      <c r="A38" s="21" t="n">
        <v>37</v>
      </c>
      <c r="B38" s="21" t="s">
        <v>90</v>
      </c>
      <c r="C38" s="21" t="s">
        <v>91</v>
      </c>
      <c r="D38" s="22" t="n">
        <v>339.61</v>
      </c>
      <c r="E38" s="22" t="n">
        <v>453.47</v>
      </c>
      <c r="F38" s="21" t="n">
        <v>50</v>
      </c>
      <c r="G38" s="21" t="n">
        <v>51</v>
      </c>
      <c r="H38" s="21" t="n">
        <v>80</v>
      </c>
      <c r="I38" s="21" t="n">
        <v>3</v>
      </c>
      <c r="J38" s="17" t="n">
        <f aca="false">F38+G38-H38-I38</f>
        <v>18</v>
      </c>
      <c r="K38" s="21" t="n">
        <v>21</v>
      </c>
      <c r="L38" s="23" t="str">
        <f aca="false">IF(J38&lt;K38,"Reorder Now","OK")</f>
        <v>Reorder Now</v>
      </c>
      <c r="M38" s="24" t="n">
        <f aca="false">IFERROR(I38/(H38+I38),0)</f>
        <v>0.036144578313253</v>
      </c>
      <c r="N38" s="25" t="n">
        <f aca="false">E38-D38</f>
        <v>113.86</v>
      </c>
      <c r="O38" s="25" t="n">
        <f aca="false">H38*E38</f>
        <v>36277.6</v>
      </c>
      <c r="P38" s="25" t="n">
        <f aca="false">I38*D38</f>
        <v>1018.83</v>
      </c>
      <c r="Q38" s="17" t="n">
        <f aca="false">RANK(O38,$O$2:$O$44,0)</f>
        <v>9</v>
      </c>
    </row>
    <row r="39" customFormat="false" ht="15" hidden="false" customHeight="false" outlineLevel="0" collapsed="false">
      <c r="A39" s="21" t="n">
        <v>38</v>
      </c>
      <c r="B39" s="21" t="s">
        <v>92</v>
      </c>
      <c r="C39" s="21" t="s">
        <v>91</v>
      </c>
      <c r="D39" s="22" t="n">
        <v>304.66</v>
      </c>
      <c r="E39" s="22" t="n">
        <v>405.35</v>
      </c>
      <c r="F39" s="21" t="n">
        <v>41</v>
      </c>
      <c r="G39" s="21" t="n">
        <v>78</v>
      </c>
      <c r="H39" s="21" t="n">
        <v>83</v>
      </c>
      <c r="I39" s="21" t="n">
        <v>1</v>
      </c>
      <c r="J39" s="17" t="n">
        <f aca="false">F39+G39-H39-I39</f>
        <v>35</v>
      </c>
      <c r="K39" s="21" t="n">
        <v>23</v>
      </c>
      <c r="L39" s="23" t="str">
        <f aca="false">IF(J39&lt;K39,"Reorder Now","OK")</f>
        <v>OK</v>
      </c>
      <c r="M39" s="24" t="n">
        <f aca="false">IFERROR(I39/(H39+I39),0)</f>
        <v>0.0119047619047619</v>
      </c>
      <c r="N39" s="25" t="n">
        <f aca="false">E39-D39</f>
        <v>100.69</v>
      </c>
      <c r="O39" s="25" t="n">
        <f aca="false">H39*E39</f>
        <v>33644.05</v>
      </c>
      <c r="P39" s="25" t="n">
        <f aca="false">I39*D39</f>
        <v>304.66</v>
      </c>
      <c r="Q39" s="17" t="n">
        <f aca="false">RANK(O39,$O$2:$O$44,0)</f>
        <v>11</v>
      </c>
    </row>
    <row r="40" customFormat="false" ht="15" hidden="false" customHeight="false" outlineLevel="0" collapsed="false">
      <c r="A40" s="21" t="n">
        <v>39</v>
      </c>
      <c r="B40" s="21" t="s">
        <v>93</v>
      </c>
      <c r="C40" s="21" t="s">
        <v>91</v>
      </c>
      <c r="D40" s="22" t="n">
        <v>325.38</v>
      </c>
      <c r="E40" s="22" t="n">
        <v>425.28</v>
      </c>
      <c r="F40" s="21" t="n">
        <v>56</v>
      </c>
      <c r="G40" s="21" t="n">
        <v>84</v>
      </c>
      <c r="H40" s="21" t="n">
        <v>116</v>
      </c>
      <c r="I40" s="21" t="n">
        <v>7</v>
      </c>
      <c r="J40" s="17" t="n">
        <f aca="false">F40+G40-H40-I40</f>
        <v>17</v>
      </c>
      <c r="K40" s="21" t="n">
        <v>40</v>
      </c>
      <c r="L40" s="23" t="str">
        <f aca="false">IF(J40&lt;K40,"Reorder Now","OK")</f>
        <v>Reorder Now</v>
      </c>
      <c r="M40" s="24" t="n">
        <f aca="false">IFERROR(I40/(H40+I40),0)</f>
        <v>0.0569105691056911</v>
      </c>
      <c r="N40" s="25" t="n">
        <f aca="false">E40-D40</f>
        <v>99.9</v>
      </c>
      <c r="O40" s="25" t="n">
        <f aca="false">H40*E40</f>
        <v>49332.48</v>
      </c>
      <c r="P40" s="25" t="n">
        <f aca="false">I40*D40</f>
        <v>2277.66</v>
      </c>
      <c r="Q40" s="17" t="n">
        <f aca="false">RANK(O40,$O$2:$O$44,0)</f>
        <v>5</v>
      </c>
    </row>
    <row r="41" customFormat="false" ht="15" hidden="false" customHeight="false" outlineLevel="0" collapsed="false">
      <c r="A41" s="21" t="n">
        <v>40</v>
      </c>
      <c r="B41" s="21" t="s">
        <v>94</v>
      </c>
      <c r="C41" s="21" t="s">
        <v>91</v>
      </c>
      <c r="D41" s="22" t="n">
        <v>201.18</v>
      </c>
      <c r="E41" s="22" t="n">
        <v>260.26</v>
      </c>
      <c r="F41" s="21" t="n">
        <v>39</v>
      </c>
      <c r="G41" s="21" t="n">
        <v>54</v>
      </c>
      <c r="H41" s="21" t="n">
        <v>49</v>
      </c>
      <c r="I41" s="21" t="n">
        <v>2</v>
      </c>
      <c r="J41" s="17" t="n">
        <f aca="false">F41+G41-H41-I41</f>
        <v>42</v>
      </c>
      <c r="K41" s="21" t="n">
        <v>33</v>
      </c>
      <c r="L41" s="23" t="str">
        <f aca="false">IF(J41&lt;K41,"Reorder Now","OK")</f>
        <v>OK</v>
      </c>
      <c r="M41" s="24" t="n">
        <f aca="false">IFERROR(I41/(H41+I41),0)</f>
        <v>0.0392156862745098</v>
      </c>
      <c r="N41" s="25" t="n">
        <f aca="false">E41-D41</f>
        <v>59.08</v>
      </c>
      <c r="O41" s="25" t="n">
        <f aca="false">H41*E41</f>
        <v>12752.74</v>
      </c>
      <c r="P41" s="25" t="n">
        <f aca="false">I41*D41</f>
        <v>402.36</v>
      </c>
      <c r="Q41" s="17" t="n">
        <f aca="false">RANK(O41,$O$2:$O$44,0)</f>
        <v>33</v>
      </c>
    </row>
    <row r="42" customFormat="false" ht="15" hidden="false" customHeight="false" outlineLevel="0" collapsed="false">
      <c r="A42" s="21" t="n">
        <v>41</v>
      </c>
      <c r="B42" s="21" t="s">
        <v>95</v>
      </c>
      <c r="C42" s="21" t="s">
        <v>91</v>
      </c>
      <c r="D42" s="22" t="n">
        <v>261.47</v>
      </c>
      <c r="E42" s="22" t="n">
        <v>303.88</v>
      </c>
      <c r="F42" s="21" t="n">
        <v>60</v>
      </c>
      <c r="G42" s="21" t="n">
        <v>37</v>
      </c>
      <c r="H42" s="21" t="n">
        <v>78</v>
      </c>
      <c r="I42" s="21" t="n">
        <v>1</v>
      </c>
      <c r="J42" s="17" t="n">
        <f aca="false">F42+G42-H42-I42</f>
        <v>18</v>
      </c>
      <c r="K42" s="21" t="n">
        <v>31</v>
      </c>
      <c r="L42" s="23" t="str">
        <f aca="false">IF(J42&lt;K42,"Reorder Now","OK")</f>
        <v>Reorder Now</v>
      </c>
      <c r="M42" s="24" t="n">
        <f aca="false">IFERROR(I42/(H42+I42),0)</f>
        <v>0.0126582278481013</v>
      </c>
      <c r="N42" s="25" t="n">
        <f aca="false">E42-D42</f>
        <v>42.41</v>
      </c>
      <c r="O42" s="25" t="n">
        <f aca="false">H42*E42</f>
        <v>23702.64</v>
      </c>
      <c r="P42" s="25" t="n">
        <f aca="false">I42*D42</f>
        <v>261.47</v>
      </c>
      <c r="Q42" s="17" t="n">
        <f aca="false">RANK(O42,$O$2:$O$44,0)</f>
        <v>23</v>
      </c>
    </row>
    <row r="43" customFormat="false" ht="15" hidden="false" customHeight="false" outlineLevel="0" collapsed="false">
      <c r="A43" s="21" t="n">
        <v>42</v>
      </c>
      <c r="B43" s="21" t="s">
        <v>96</v>
      </c>
      <c r="C43" s="21" t="s">
        <v>91</v>
      </c>
      <c r="D43" s="22" t="n">
        <v>322.99</v>
      </c>
      <c r="E43" s="22" t="n">
        <v>405.75</v>
      </c>
      <c r="F43" s="21" t="n">
        <v>27</v>
      </c>
      <c r="G43" s="21" t="n">
        <v>95</v>
      </c>
      <c r="H43" s="21" t="n">
        <v>72</v>
      </c>
      <c r="I43" s="21" t="n">
        <v>1</v>
      </c>
      <c r="J43" s="17" t="n">
        <f aca="false">F43+G43-H43-I43</f>
        <v>49</v>
      </c>
      <c r="K43" s="21" t="n">
        <v>17</v>
      </c>
      <c r="L43" s="23" t="str">
        <f aca="false">IF(J43&lt;K43,"Reorder Now","OK")</f>
        <v>OK</v>
      </c>
      <c r="M43" s="24" t="n">
        <f aca="false">IFERROR(I43/(H43+I43),0)</f>
        <v>0.0136986301369863</v>
      </c>
      <c r="N43" s="25" t="n">
        <f aca="false">E43-D43</f>
        <v>82.76</v>
      </c>
      <c r="O43" s="25" t="n">
        <f aca="false">H43*E43</f>
        <v>29214</v>
      </c>
      <c r="P43" s="25" t="n">
        <f aca="false">I43*D43</f>
        <v>322.99</v>
      </c>
      <c r="Q43" s="17" t="n">
        <f aca="false">RANK(O43,$O$2:$O$44,0)</f>
        <v>16</v>
      </c>
    </row>
    <row r="44" customFormat="false" ht="15" hidden="false" customHeight="false" outlineLevel="0" collapsed="false">
      <c r="A44" s="21" t="n">
        <v>43</v>
      </c>
      <c r="B44" s="21" t="s">
        <v>97</v>
      </c>
      <c r="C44" s="21" t="s">
        <v>91</v>
      </c>
      <c r="D44" s="22" t="n">
        <v>214.34</v>
      </c>
      <c r="E44" s="22" t="n">
        <v>275.44</v>
      </c>
      <c r="F44" s="21" t="n">
        <v>50</v>
      </c>
      <c r="G44" s="21" t="n">
        <v>81</v>
      </c>
      <c r="H44" s="21" t="n">
        <v>121</v>
      </c>
      <c r="I44" s="21" t="n">
        <v>2</v>
      </c>
      <c r="J44" s="17" t="n">
        <f aca="false">F44+G44-H44-I44</f>
        <v>8</v>
      </c>
      <c r="K44" s="21" t="n">
        <v>33</v>
      </c>
      <c r="L44" s="23" t="str">
        <f aca="false">IF(J44&lt;K44,"Reorder Now","OK")</f>
        <v>Reorder Now</v>
      </c>
      <c r="M44" s="24" t="n">
        <f aca="false">IFERROR(I44/(H44+I44),0)</f>
        <v>0.016260162601626</v>
      </c>
      <c r="N44" s="25" t="n">
        <f aca="false">E44-D44</f>
        <v>61.1</v>
      </c>
      <c r="O44" s="25" t="n">
        <f aca="false">H44*E44</f>
        <v>33328.24</v>
      </c>
      <c r="P44" s="25" t="n">
        <f aca="false">I44*D44</f>
        <v>428.68</v>
      </c>
      <c r="Q44" s="17" t="n">
        <f aca="false">RANK(O44,$O$2:$O$44,0)</f>
        <v>12</v>
      </c>
    </row>
  </sheetData>
  <conditionalFormatting sqref="L2:L44">
    <cfRule type="cellIs" priority="2" operator="equal" aboveAverage="0" equalAverage="0" bottom="0" percent="0" rank="0" text="" dxfId="0">
      <formula>"Reorder Now"</formula>
    </cfRule>
    <cfRule type="cellIs" priority="3" operator="equal" aboveAverage="0" equalAverage="0" bottom="0" percent="0" rank="0" text="" dxfId="1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20"/>
    <col collapsed="false" customWidth="true" hidden="false" outlineLevel="0" max="6" min="6" style="0" width="12"/>
  </cols>
  <sheetData>
    <row r="1" customFormat="false" ht="27.75" hidden="false" customHeight="true" outlineLevel="0" collapsed="false">
      <c r="A1" s="20" t="s">
        <v>36</v>
      </c>
      <c r="B1" s="20" t="s">
        <v>98</v>
      </c>
      <c r="C1" s="20" t="s">
        <v>99</v>
      </c>
      <c r="D1" s="20" t="s">
        <v>46</v>
      </c>
      <c r="E1" s="20" t="s">
        <v>47</v>
      </c>
      <c r="F1" s="20" t="s">
        <v>44</v>
      </c>
    </row>
    <row r="2" customFormat="false" ht="15" hidden="false" customHeight="false" outlineLevel="0" collapsed="false">
      <c r="A2" s="21" t="s">
        <v>50</v>
      </c>
      <c r="B2" s="17" t="n">
        <f aca="false">SUMIFS(Raw_Data!$H$2:$H$44,Raw_Data!$C$2:$C$44,A2)</f>
        <v>663</v>
      </c>
      <c r="C2" s="17" t="n">
        <f aca="false">SUMIFS(Raw_Data!$I$2:$I$44,Raw_Data!$C$2:$C$44,A2)</f>
        <v>120</v>
      </c>
      <c r="D2" s="18" t="n">
        <f aca="false">SUMIFS(Raw_Data!$O$2:$O$44,Raw_Data!$C$2:$C$44,A2)</f>
        <v>117571.7</v>
      </c>
      <c r="E2" s="18" t="n">
        <f aca="false">SUMIFS(Raw_Data!$P$2:$P$44,Raw_Data!$C$2:$C$44,A2)</f>
        <v>16950.31</v>
      </c>
      <c r="F2" s="24" t="n">
        <f aca="false">IFERROR(C2/(B2+C2),0)</f>
        <v>0.153256704980843</v>
      </c>
    </row>
    <row r="3" customFormat="false" ht="15" hidden="false" customHeight="false" outlineLevel="0" collapsed="false">
      <c r="A3" s="21" t="s">
        <v>58</v>
      </c>
      <c r="B3" s="17" t="n">
        <f aca="false">SUMIFS(Raw_Data!$H$2:$H$44,Raw_Data!$C$2:$C$44,A3)</f>
        <v>821</v>
      </c>
      <c r="C3" s="17" t="n">
        <f aca="false">SUMIFS(Raw_Data!$I$2:$I$44,Raw_Data!$C$2:$C$44,A3)</f>
        <v>54</v>
      </c>
      <c r="D3" s="18" t="n">
        <f aca="false">SUMIFS(Raw_Data!$O$2:$O$44,Raw_Data!$C$2:$C$44,A3)</f>
        <v>240021.43</v>
      </c>
      <c r="E3" s="18" t="n">
        <f aca="false">SUMIFS(Raw_Data!$P$2:$P$44,Raw_Data!$C$2:$C$44,A3)</f>
        <v>11340.78</v>
      </c>
      <c r="F3" s="24" t="n">
        <f aca="false">IFERROR(C3/(B3+C3),0)</f>
        <v>0.0617142857142857</v>
      </c>
    </row>
    <row r="4" customFormat="false" ht="15" hidden="false" customHeight="false" outlineLevel="0" collapsed="false">
      <c r="A4" s="21" t="s">
        <v>66</v>
      </c>
      <c r="B4" s="17" t="n">
        <f aca="false">SUMIFS(Raw_Data!$H$2:$H$44,Raw_Data!$C$2:$C$44,A4)</f>
        <v>904</v>
      </c>
      <c r="C4" s="17" t="n">
        <f aca="false">SUMIFS(Raw_Data!$I$2:$I$44,Raw_Data!$C$2:$C$44,A4)</f>
        <v>44</v>
      </c>
      <c r="D4" s="18" t="n">
        <f aca="false">SUMIFS(Raw_Data!$O$2:$O$44,Raw_Data!$C$2:$C$44,A4)</f>
        <v>153831.61</v>
      </c>
      <c r="E4" s="18" t="n">
        <f aca="false">SUMIFS(Raw_Data!$P$2:$P$44,Raw_Data!$C$2:$C$44,A4)</f>
        <v>5647.53</v>
      </c>
      <c r="F4" s="24" t="n">
        <f aca="false">IFERROR(C4/(B4+C4),0)</f>
        <v>0.0464135021097046</v>
      </c>
    </row>
    <row r="5" customFormat="false" ht="15" hidden="false" customHeight="false" outlineLevel="0" collapsed="false">
      <c r="A5" s="21" t="s">
        <v>74</v>
      </c>
      <c r="B5" s="17" t="n">
        <f aca="false">SUMIFS(Raw_Data!$H$2:$H$44,Raw_Data!$C$2:$C$44,A5)</f>
        <v>808</v>
      </c>
      <c r="C5" s="17" t="n">
        <f aca="false">SUMIFS(Raw_Data!$I$2:$I$44,Raw_Data!$C$2:$C$44,A5)</f>
        <v>42</v>
      </c>
      <c r="D5" s="18" t="n">
        <f aca="false">SUMIFS(Raw_Data!$O$2:$O$44,Raw_Data!$C$2:$C$44,A5)</f>
        <v>141758.72</v>
      </c>
      <c r="E5" s="18" t="n">
        <f aca="false">SUMIFS(Raw_Data!$P$2:$P$44,Raw_Data!$C$2:$C$44,A5)</f>
        <v>6025.84</v>
      </c>
      <c r="F5" s="24" t="n">
        <f aca="false">IFERROR(C5/(B5+C5),0)</f>
        <v>0.0494117647058824</v>
      </c>
    </row>
    <row r="6" customFormat="false" ht="15" hidden="false" customHeight="false" outlineLevel="0" collapsed="false">
      <c r="A6" s="21" t="s">
        <v>83</v>
      </c>
      <c r="B6" s="17" t="n">
        <f aca="false">SUMIFS(Raw_Data!$H$2:$H$44,Raw_Data!$C$2:$C$44,A6)</f>
        <v>886</v>
      </c>
      <c r="C6" s="17" t="n">
        <f aca="false">SUMIFS(Raw_Data!$I$2:$I$44,Raw_Data!$C$2:$C$44,A6)</f>
        <v>43</v>
      </c>
      <c r="D6" s="18" t="n">
        <f aca="false">SUMIFS(Raw_Data!$O$2:$O$44,Raw_Data!$C$2:$C$44,A6)</f>
        <v>207809.5</v>
      </c>
      <c r="E6" s="18" t="n">
        <f aca="false">SUMIFS(Raw_Data!$P$2:$P$44,Raw_Data!$C$2:$C$44,A6)</f>
        <v>8465.41</v>
      </c>
      <c r="F6" s="24" t="n">
        <f aca="false">IFERROR(C6/(B6+C6),0)</f>
        <v>0.046286329386437</v>
      </c>
    </row>
    <row r="7" customFormat="false" ht="15" hidden="false" customHeight="false" outlineLevel="0" collapsed="false">
      <c r="A7" s="21" t="s">
        <v>91</v>
      </c>
      <c r="B7" s="17" t="n">
        <f aca="false">SUMIFS(Raw_Data!$H$2:$H$44,Raw_Data!$C$2:$C$44,A7)</f>
        <v>599</v>
      </c>
      <c r="C7" s="17" t="n">
        <f aca="false">SUMIFS(Raw_Data!$I$2:$I$44,Raw_Data!$C$2:$C$44,A7)</f>
        <v>17</v>
      </c>
      <c r="D7" s="18" t="n">
        <f aca="false">SUMIFS(Raw_Data!$O$2:$O$44,Raw_Data!$C$2:$C$44,A7)</f>
        <v>218251.75</v>
      </c>
      <c r="E7" s="18" t="n">
        <f aca="false">SUMIFS(Raw_Data!$P$2:$P$44,Raw_Data!$C$2:$C$44,A7)</f>
        <v>5016.65</v>
      </c>
      <c r="F7" s="24" t="n">
        <f aca="false">IFERROR(C7/(B7+C7),0)</f>
        <v>0.0275974025974026</v>
      </c>
    </row>
    <row r="8" customFormat="false" ht="15" hidden="false" customHeight="false" outlineLevel="0" collapsed="false">
      <c r="A8" s="26" t="s">
        <v>100</v>
      </c>
      <c r="B8" s="26" t="n">
        <f aca="false">SUM(B2:B7)</f>
        <v>4681</v>
      </c>
      <c r="C8" s="26" t="n">
        <f aca="false">SUM(C2:C7)</f>
        <v>320</v>
      </c>
      <c r="D8" s="27" t="n">
        <f aca="false">SUM(D2:D7)</f>
        <v>1079244.71</v>
      </c>
      <c r="E8" s="27" t="n">
        <f aca="false">SUM(E2:E7)</f>
        <v>53446.52</v>
      </c>
      <c r="F8" s="28" t="n">
        <f aca="false">IFERROR(C8/(B8+C8),0)</f>
        <v>0.0639872025594881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2026-07-19T10:49:39Z</dcterms:created>
  <dc:creator>openpyxl</dc:creator>
  <dc:description/>
  <dc:language>en-US</dc:language>
  <cp:lastModifiedBy/>
  <dcterms:modified xsi:type="dcterms:W3CDTF">2026-07-19T10:51:25Z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